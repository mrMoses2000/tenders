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4a24a9d27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f6b69d6f82409c"/>
    <x:sheet xmlns:r="http://schemas.openxmlformats.org/officeDocument/2006/relationships" name="ТЗ" sheetId="2" r:id="R34090699f6344c3c"/>
    <x:sheet xmlns:r="http://schemas.openxmlformats.org/officeDocument/2006/relationships" name="Поиск" sheetId="3" r:id="R61f3a5728bed46cb"/>
    <x:sheet xmlns:r="http://schemas.openxmlformats.org/officeDocument/2006/relationships" name="Поставщики" sheetId="4" r:id="R781cee72bd9046d5"/>
    <x:sheet xmlns:r="http://schemas.openxmlformats.org/officeDocument/2006/relationships" name="Логистика" sheetId="5" r:id="Rbee6c25a65454e5e"/>
    <x:sheet xmlns:r="http://schemas.openxmlformats.org/officeDocument/2006/relationships" name="Финал" sheetId="6" r:id="Rf594add6e9ba41e0"/>
    <x:sheet xmlns:r="http://schemas.openxmlformats.org/officeDocument/2006/relationships" name="Не брать" sheetId="7" r:id="R76c3639f18c74613"/>
    <x:sheet xmlns:r="http://schemas.openxmlformats.org/officeDocument/2006/relationships" name="Справочники" sheetId="8" r:id="Rf92ca21422ca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₸"/>
    <x:numFmt numFmtId="201" formatCode="0.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006100"/>
      </x:font>
      <x:fill>
        <x:patternFill patternType="solid">
          <x:bgColor rgb="C6EFCE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55ad0e33f4374" /><Relationship Type="http://schemas.openxmlformats.org/officeDocument/2006/relationships/theme" Target="/xl/theme/theme1.xml" Id="R3b8e2d7b7ccb44ec" /><Relationship Type="http://schemas.openxmlformats.org/officeDocument/2006/relationships/sharedStrings" Target="/xl/sharedStrings.xml" Id="R7f4ddb9d420c41e9" /><Relationship Type="http://schemas.openxmlformats.org/officeDocument/2006/relationships/worksheet" Target="/xl/worksheets/sheet1.xml" Id="Rd6f6b69d6f82409c" /><Relationship Type="http://schemas.openxmlformats.org/officeDocument/2006/relationships/worksheet" Target="/xl/worksheets/sheet2.xml" Id="R34090699f6344c3c" /><Relationship Type="http://schemas.openxmlformats.org/officeDocument/2006/relationships/worksheet" Target="/xl/worksheets/sheet3.xml" Id="R61f3a5728bed46cb" /><Relationship Type="http://schemas.openxmlformats.org/officeDocument/2006/relationships/worksheet" Target="/xl/worksheets/sheet4.xml" Id="R781cee72bd9046d5" /><Relationship Type="http://schemas.openxmlformats.org/officeDocument/2006/relationships/worksheet" Target="/xl/worksheets/sheet5.xml" Id="Rbee6c25a65454e5e" /><Relationship Type="http://schemas.openxmlformats.org/officeDocument/2006/relationships/worksheet" Target="/xl/worksheets/sheet6.xml" Id="Rf594add6e9ba41e0" /><Relationship Type="http://schemas.openxmlformats.org/officeDocument/2006/relationships/worksheet" Target="/xl/worksheets/sheet7.xml" Id="R76c3639f18c74613" /><Relationship Type="http://schemas.openxmlformats.org/officeDocument/2006/relationships/worksheet" Target="/xl/worksheets/sheet8.xml" Id="Rf92ca21422ca4112" /></Relationships>
</file>

<file path=xl/tables/table1.xml><?xml version="1.0" encoding="utf-8"?>
<x:table xmlns:x="http://schemas.openxmlformats.org/spreadsheetml/2006/main" id="1" name="SpecTable" displayName="SpecTable" ref="A1:L101" headerRowCount="1">
  <x:tableColumns count="12">
    <x:tableColumn id="1" name="Позиция"/>
    <x:tableColumn id="2" name="Товар по ТЗ"/>
    <x:tableColumn id="3" name="Описание из ТЗ"/>
    <x:tableColumn id="4" name="Назначение"/>
    <x:tableColumn id="5" name="Фасовка"/>
    <x:tableColumn id="6" name="Вес/объём ед."/>
    <x:tableColumn id="7" name="Кол-во"/>
    <x:tableColumn id="8" name="Ед. изм."/>
    <x:tableColumn id="9" name="Цена по ТЗ"/>
    <x:tableColumn id="10" name="Сумма по ТЗ"/>
    <x:tableColumn id="11" name="Критические слова"/>
    <x:tableColumn id="12" name="Комментарий/сомнение"/>
  </x:tableColumns>
  <x:tableStyleInfo name="TableStyleMedium2" showRowStripes="1"/>
</x:table>
</file>

<file path=xl/tables/table2.xml><?xml version="1.0" encoding="utf-8"?>
<x:table xmlns:x="http://schemas.openxmlformats.org/spreadsheetml/2006/main" id="2" name="SearchTable" displayName="SearchTable" ref="A1:P301" headerRowCount="1">
  <x:tableColumns count="16">
    <x:tableColumn id="1" name="ID"/>
    <x:tableColumn id="2" name="Позиция"/>
    <x:tableColumn id="3" name="Товар по ТЗ"/>
    <x:tableColumn id="4" name="Найденный товар"/>
    <x:tableColumn id="5" name="Поставщик"/>
    <x:tableColumn id="6" name="Город"/>
    <x:tableColumn id="7" name="Ссылка"/>
    <x:tableColumn id="8" name="Цена ед."/>
    <x:tableColumn id="9" name="Фасовка"/>
    <x:tableColumn id="10" name="Назначение/описание"/>
    <x:tableColumn id="11" name="Наличие"/>
    <x:tableColumn id="12" name="Доставка"/>
    <x:tableColumn id="13" name="Статус соответствия"/>
    <x:tableColumn id="14" name="Риск"/>
    <x:tableColumn id="15" name="Что проверить"/>
    <x:tableColumn id="16" name="Дата проверки"/>
  </x:tableColumns>
  <x:tableStyleInfo name="TableStyleMedium2" showRowStripes="1"/>
</x:table>
</file>

<file path=xl/tables/table3.xml><?xml version="1.0" encoding="utf-8"?>
<x:table xmlns:x="http://schemas.openxmlformats.org/spreadsheetml/2006/main" id="3" name="SuppliersTable" displayName="SuppliersTable" ref="A1:O201" headerRowCount="1">
  <x:tableColumns count="15">
    <x:tableColumn id="1" name="Поставщик"/>
    <x:tableColumn id="2" name="Город"/>
    <x:tableColumn id="3" name="Контакт/сайт"/>
    <x:tableColumn id="4" name="Товар"/>
    <x:tableColumn id="5" name="Позиция"/>
    <x:tableColumn id="6" name="Куда написали"/>
    <x:tableColumn id="7" name="Время запроса"/>
    <x:tableColumn id="8" name="Статус ответа"/>
    <x:tableColumn id="9" name="Цена подтверждена"/>
    <x:tableColumn id="10" name="Наличие подтверждено"/>
    <x:tableColumn id="11" name="Фасовка подтверждена"/>
    <x:tableColumn id="12" name="Назначение подтверждено"/>
    <x:tableColumn id="13" name="Доставка подтверждена"/>
    <x:tableColumn id="14" name="Ответ поставщика"/>
    <x:tableColumn id="15" name="Следующий шаг"/>
  </x:tableColumns>
  <x:tableStyleInfo name="TableStyleMedium2" showRowStripes="1"/>
</x:table>
</file>

<file path=xl/tables/table4.xml><?xml version="1.0" encoding="utf-8"?>
<x:table xmlns:x="http://schemas.openxmlformats.org/spreadsheetml/2006/main" id="4" name="LogisticsTable" displayName="LogisticsTable" ref="A1:O201" headerRowCount="1">
  <x:tableColumns count="15">
    <x:tableColumn id="1" name="Позиция"/>
    <x:tableColumn id="2" name="Поставщик"/>
    <x:tableColumn id="3" name="Город поставщика"/>
    <x:tableColumn id="4" name="Адрес поставщика"/>
    <x:tableColumn id="5" name="Адрес доставки"/>
    <x:tableColumn id="6" name="Способ доставки"/>
    <x:tableColumn id="7" name="Вес общий"/>
    <x:tableColumn id="8" name="Объём/места"/>
    <x:tableColumn id="9" name="Расстояние"/>
    <x:tableColumn id="10" name="Время в пути"/>
    <x:tableColumn id="11" name="Стоимость доставки"/>
    <x:tableColumn id="12" name="Погрузка/разгрузка"/>
    <x:tableColumn id="13" name="Срок"/>
    <x:tableColumn id="14" name="Риск"/>
    <x:tableColumn id="15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FinalTable" displayName="FinalTable" ref="A1:T301" headerRowCount="1">
  <x:tableColumns count="20">
    <x:tableColumn id="1" name="Позиция"/>
    <x:tableColumn id="2" name="Товар по ТЗ"/>
    <x:tableColumn id="3" name="Найденный товар"/>
    <x:tableColumn id="4" name="Статус"/>
    <x:tableColumn id="5" name="Поставщик"/>
    <x:tableColumn id="6" name="Город"/>
    <x:tableColumn id="7" name="Ссылка"/>
    <x:tableColumn id="8" name="Цена ед."/>
    <x:tableColumn id="9" name="Кол-во"/>
    <x:tableColumn id="10" name="Сумма закупки"/>
    <x:tableColumn id="11" name="Доставка"/>
    <x:tableColumn id="12" name="Прочие расходы"/>
    <x:tableColumn id="13" name="Себестоимость"/>
    <x:tableColumn id="14" name="Сумма по ТЗ"/>
    <x:tableColumn id="15" name="Прибыль"/>
    <x:tableColumn id="16" name="Маржа %"/>
    <x:tableColumn id="17" name="Риск"/>
    <x:tableColumn id="18" name="5 пунктов подтверждены?"/>
    <x:tableColumn id="19" name="Готовность"/>
    <x:tableColumn id="20" name="Следующий шаг"/>
  </x:tableColumns>
  <x:tableStyleInfo name="TableStyleMedium2" showRowStripes="1"/>
</x:table>
</file>

<file path=xl/tables/table6.xml><?xml version="1.0" encoding="utf-8"?>
<x:table xmlns:x="http://schemas.openxmlformats.org/spreadsheetml/2006/main" id="6" name="RejectedTable" displayName="RejectedTable" ref="A1:H201" headerRowCount="1">
  <x:tableColumns count="8">
    <x:tableColumn id="1" name="Позиция"/>
    <x:tableColumn id="2" name="Товар по ТЗ"/>
    <x:tableColumn id="3" name="Найденный товар"/>
    <x:tableColumn id="4" name="Поставщик"/>
    <x:tableColumn id="5" name="Ссылка"/>
    <x:tableColumn id="6" name="Причина отказа"/>
    <x:tableColumn id="7" name="Риск"/>
    <x:tableColumn id="8" name="Дата проверк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91e54df48d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b23aeaaab948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a4f610ab0c40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d19ca147cf44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d6d720f5204d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c4103956fd4cd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Шаблон тендерной закупки</x:v>
      </x:c>
    </x:row>
    <x:row r="3">
      <x:c r="A3" s="12" t="str">
        <x:v>Назначение</x:v>
      </x:c>
      <x:c r="B3" s="13" t="str">
        <x:v>Шаблон для расчёта закупки по тендерным позициям.</x:v>
      </x:c>
    </x:row>
    <x:row r="4">
      <x:c r="A4" s="12" t="str">
        <x:v>Главное правило</x:v>
      </x:c>
      <x:c r="B4" s="13" t="str">
        <x:v>Не считать товар готовым к заказу, пока не подтверждены ТЗ, фасовка, цена, наличие и доставка.</x:v>
      </x:c>
    </x:row>
    <x:row r="5">
      <x:c r="A5" s="12" t="str">
        <x:v>Лист ТЗ</x:v>
      </x:c>
      <x:c r="B5" s="13" t="str">
        <x:v>Сюда вносится спецификация из PDF/фото/Excel.</x:v>
      </x:c>
    </x:row>
    <x:row r="6">
      <x:c r="A6" s="12" t="str">
        <x:v>Лист Поиск</x:v>
      </x:c>
      <x:c r="B6" s="13" t="str">
        <x:v>Сюда вносятся все найденные товары-кандидаты.</x:v>
      </x:c>
    </x:row>
    <x:row r="7">
      <x:c r="A7" s="12" t="str">
        <x:v>Лист Поставщики</x:v>
      </x:c>
      <x:c r="B7" s="13" t="str">
        <x:v>Статусы переписки и подтверждений.</x:v>
      </x:c>
    </x:row>
    <x:row r="8">
      <x:c r="A8" s="12" t="str">
        <x:v>Лист Логистика</x:v>
      </x:c>
      <x:c r="B8" s="13" t="str">
        <x:v>Расчёты доставки, маршрутов и перевозок.</x:v>
      </x:c>
    </x:row>
    <x:row r="9">
      <x:c r="A9" s="12" t="str">
        <x:v>Лист Финал</x:v>
      </x:c>
      <x:c r="B9" s="13" t="str">
        <x:v>Итоговый расчёт себестоимости, прибыли и риска.</x:v>
      </x:c>
    </x:row>
    <x:row r="10">
      <x:c r="A10" s="12" t="str">
        <x:v>Лист Не брать</x:v>
      </x:c>
      <x:c r="B10" s="13" t="str">
        <x:v>Отклонённые товары и причина.</x:v>
      </x:c>
    </x:row>
    <x:row r="11">
      <x:c r="A11" s="12" t="str">
        <x:v>Версия</x:v>
      </x:c>
      <x:c r="B11" s="13" t="str">
        <x:v>2026-05-29</x:v>
      </x:c>
    </x:row>
    <x:row r="12">
      <x:c r="A12" s="12" t="str">
        <x:v>Авторский комментарий</x:v>
      </x:c>
      <x:c r="B12" s="13" t="str">
        <x:v>Формулы в финальном листе не стирать; вводить данные в белые/светлые поля.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28" hidden="0" customWidth="1"/>
  </x:cols>
  <x:sheetData>
    <x:row r="1">
      <x:c r="A1" s="18" t="str">
        <x:v>Позиция</x:v>
      </x:c>
      <x:c r="B1" s="18" t="str">
        <x:v>Товар по ТЗ</x:v>
      </x:c>
      <x:c r="C1" s="18" t="str">
        <x:v>Описание из ТЗ</x:v>
      </x:c>
      <x:c r="D1" s="18" t="str">
        <x:v>Назначение</x:v>
      </x:c>
      <x:c r="E1" s="18" t="str">
        <x:v>Фасовка</x:v>
      </x:c>
      <x:c r="F1" s="18" t="str">
        <x:v>Вес/объём ед.</x:v>
      </x:c>
      <x:c r="G1" s="18" t="str">
        <x:v>Кол-во</x:v>
      </x:c>
      <x:c r="H1" s="18" t="str">
        <x:v>Ед. изм.</x:v>
      </x:c>
      <x:c r="I1" s="18" t="str">
        <x:v>Цена по ТЗ</x:v>
      </x:c>
      <x:c r="J1" s="18" t="str">
        <x:v>Сумма по ТЗ</x:v>
      </x:c>
      <x:c r="K1" s="18" t="str">
        <x:v>Критические слова</x:v>
      </x:c>
      <x:c r="L1" s="18" t="str">
        <x:v>Комментарий/сомнение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22"/>
      <x:c r="J2" s="22" t="str">
        <x:f>IF(OR(G2="",I2=""),"",G2*I2)</x:f>
      </x:c>
      <x:c r="K2" s="13"/>
      <x:c r="L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22"/>
      <x:c r="J3" s="22" t="str">
        <x:f>IF(OR(G3="",I3=""),"",G3*I3)</x:f>
      </x:c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22"/>
      <x:c r="J4" s="22" t="str">
        <x:f>IF(OR(G4="",I4=""),"",G4*I4)</x:f>
      </x:c>
      <x:c r="K4" s="13"/>
      <x:c r="L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22"/>
      <x:c r="J5" s="22" t="str">
        <x:f>IF(OR(G5="",I5=""),"",G5*I5)</x:f>
      </x:c>
      <x:c r="K5" s="13"/>
      <x:c r="L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22"/>
      <x:c r="J6" s="22" t="str">
        <x:f>IF(OR(G6="",I6=""),"",G6*I6)</x:f>
      </x:c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22"/>
      <x:c r="J7" s="22" t="str">
        <x:f>IF(OR(G7="",I7=""),"",G7*I7)</x:f>
      </x:c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22"/>
      <x:c r="J8" s="22" t="str">
        <x:f>IF(OR(G8="",I8=""),"",G8*I8)</x:f>
      </x:c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22"/>
      <x:c r="J9" s="22" t="str">
        <x:f>IF(OR(G9="",I9=""),"",G9*I9)</x:f>
      </x:c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22"/>
      <x:c r="J10" s="22" t="str">
        <x:f>IF(OR(G10="",I10=""),"",G10*I10)</x:f>
      </x:c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2"/>
      <x:c r="J11" s="22" t="str">
        <x:f>IF(OR(G11="",I11=""),"",G11*I11)</x:f>
      </x:c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22"/>
      <x:c r="J12" s="22" t="str">
        <x:f>IF(OR(G12="",I12=""),"",G12*I12)</x:f>
      </x:c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22"/>
      <x:c r="J13" s="22" t="str">
        <x:f>IF(OR(G13="",I13=""),"",G13*I13)</x:f>
      </x:c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22"/>
      <x:c r="J14" s="22" t="str">
        <x:f>IF(OR(G14="",I14=""),"",G14*I14)</x:f>
      </x:c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22"/>
      <x:c r="J15" s="22" t="str">
        <x:f>IF(OR(G15="",I15=""),"",G15*I15)</x:f>
      </x:c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22"/>
      <x:c r="J16" s="22" t="str">
        <x:f>IF(OR(G16="",I16=""),"",G16*I16)</x:f>
      </x:c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22"/>
      <x:c r="J17" s="22" t="str">
        <x:f>IF(OR(G17="",I17=""),"",G17*I17)</x:f>
      </x:c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22"/>
      <x:c r="J18" s="22" t="str">
        <x:f>IF(OR(G18="",I18=""),"",G18*I18)</x:f>
      </x:c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22"/>
      <x:c r="J19" s="22" t="str">
        <x:f>IF(OR(G19="",I19=""),"",G19*I19)</x:f>
      </x:c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22"/>
      <x:c r="J20" s="22" t="str">
        <x:f>IF(OR(G20="",I20=""),"",G20*I20)</x:f>
      </x:c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22"/>
      <x:c r="J21" s="22" t="str">
        <x:f>IF(OR(G21="",I21=""),"",G21*I21)</x:f>
      </x:c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22"/>
      <x:c r="J22" s="22" t="str">
        <x:f>IF(OR(G22="",I22=""),"",G22*I22)</x:f>
      </x:c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22"/>
      <x:c r="J23" s="22" t="str">
        <x:f>IF(OR(G23="",I23=""),"",G23*I23)</x:f>
      </x:c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22"/>
      <x:c r="J24" s="22" t="str">
        <x:f>IF(OR(G24="",I24=""),"",G24*I24)</x:f>
      </x:c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22"/>
      <x:c r="J25" s="22" t="str">
        <x:f>IF(OR(G25="",I25=""),"",G25*I25)</x:f>
      </x:c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22"/>
      <x:c r="J26" s="22" t="str">
        <x:f>IF(OR(G26="",I26=""),"",G26*I26)</x:f>
      </x:c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22"/>
      <x:c r="J27" s="22" t="str">
        <x:f>IF(OR(G27="",I27=""),"",G27*I27)</x:f>
      </x:c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22"/>
      <x:c r="J28" s="22" t="str">
        <x:f>IF(OR(G28="",I28=""),"",G28*I28)</x:f>
      </x:c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22"/>
      <x:c r="J29" s="22" t="str">
        <x:f>IF(OR(G29="",I29=""),"",G29*I29)</x:f>
      </x:c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22"/>
      <x:c r="J30" s="22" t="str">
        <x:f>IF(OR(G30="",I30=""),"",G30*I30)</x:f>
      </x:c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22"/>
      <x:c r="J31" s="22" t="str">
        <x:f>IF(OR(G31="",I31=""),"",G31*I31)</x:f>
      </x:c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22"/>
      <x:c r="J32" s="22" t="str">
        <x:f>IF(OR(G32="",I32=""),"",G32*I32)</x:f>
      </x:c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22"/>
      <x:c r="J33" s="22" t="str">
        <x:f>IF(OR(G33="",I33=""),"",G33*I33)</x:f>
      </x:c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22"/>
      <x:c r="J34" s="22" t="str">
        <x:f>IF(OR(G34="",I34=""),"",G34*I34)</x:f>
      </x:c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22"/>
      <x:c r="J35" s="22" t="str">
        <x:f>IF(OR(G35="",I35=""),"",G35*I35)</x:f>
      </x:c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22"/>
      <x:c r="J36" s="22" t="str">
        <x:f>IF(OR(G36="",I36=""),"",G36*I36)</x:f>
      </x:c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22"/>
      <x:c r="J37" s="22" t="str">
        <x:f>IF(OR(G37="",I37=""),"",G37*I37)</x:f>
      </x:c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22"/>
      <x:c r="J38" s="22" t="str">
        <x:f>IF(OR(G38="",I38=""),"",G38*I38)</x:f>
      </x:c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22"/>
      <x:c r="J39" s="22" t="str">
        <x:f>IF(OR(G39="",I39=""),"",G39*I39)</x:f>
      </x:c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22"/>
      <x:c r="J40" s="22" t="str">
        <x:f>IF(OR(G40="",I40=""),"",G40*I40)</x:f>
      </x:c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22"/>
      <x:c r="J41" s="22" t="str">
        <x:f>IF(OR(G41="",I41=""),"",G41*I41)</x:f>
      </x:c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22"/>
      <x:c r="J42" s="22" t="str">
        <x:f>IF(OR(G42="",I42=""),"",G42*I42)</x:f>
      </x:c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22"/>
      <x:c r="J43" s="22" t="str">
        <x:f>IF(OR(G43="",I43=""),"",G43*I43)</x:f>
      </x:c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22"/>
      <x:c r="J44" s="22" t="str">
        <x:f>IF(OR(G44="",I44=""),"",G44*I44)</x:f>
      </x:c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22"/>
      <x:c r="J45" s="22" t="str">
        <x:f>IF(OR(G45="",I45=""),"",G45*I45)</x:f>
      </x:c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22"/>
      <x:c r="J46" s="22" t="str">
        <x:f>IF(OR(G46="",I46=""),"",G46*I46)</x:f>
      </x:c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22"/>
      <x:c r="J47" s="22" t="str">
        <x:f>IF(OR(G47="",I47=""),"",G47*I47)</x:f>
      </x:c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22"/>
      <x:c r="J48" s="22" t="str">
        <x:f>IF(OR(G48="",I48=""),"",G48*I48)</x:f>
      </x:c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22"/>
      <x:c r="J49" s="22" t="str">
        <x:f>IF(OR(G49="",I49=""),"",G49*I49)</x:f>
      </x:c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22"/>
      <x:c r="J50" s="22" t="str">
        <x:f>IF(OR(G50="",I50=""),"",G50*I50)</x:f>
      </x:c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22"/>
      <x:c r="J51" s="22" t="str">
        <x:f>IF(OR(G51="",I51=""),"",G51*I51)</x:f>
      </x:c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22"/>
      <x:c r="J52" s="22" t="str">
        <x:f>IF(OR(G52="",I52=""),"",G52*I52)</x:f>
      </x:c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22"/>
      <x:c r="J53" s="22" t="str">
        <x:f>IF(OR(G53="",I53=""),"",G53*I53)</x:f>
      </x:c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22"/>
      <x:c r="J54" s="22" t="str">
        <x:f>IF(OR(G54="",I54=""),"",G54*I54)</x:f>
      </x:c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22"/>
      <x:c r="J55" s="22" t="str">
        <x:f>IF(OR(G55="",I55=""),"",G55*I55)</x:f>
      </x:c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22"/>
      <x:c r="J56" s="22" t="str">
        <x:f>IF(OR(G56="",I56=""),"",G56*I56)</x:f>
      </x:c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22"/>
      <x:c r="J57" s="22" t="str">
        <x:f>IF(OR(G57="",I57=""),"",G57*I57)</x:f>
      </x:c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22"/>
      <x:c r="J58" s="22" t="str">
        <x:f>IF(OR(G58="",I58=""),"",G58*I58)</x:f>
      </x:c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22"/>
      <x:c r="J59" s="22" t="str">
        <x:f>IF(OR(G59="",I59=""),"",G59*I59)</x:f>
      </x:c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22"/>
      <x:c r="J60" s="22" t="str">
        <x:f>IF(OR(G60="",I60=""),"",G60*I60)</x:f>
      </x:c>
      <x:c r="K60" s="13"/>
      <x:c r="L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22"/>
      <x:c r="J61" s="22" t="str">
        <x:f>IF(OR(G61="",I61=""),"",G61*I61)</x:f>
      </x:c>
      <x:c r="K61" s="13"/>
      <x:c r="L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22"/>
      <x:c r="J62" s="22" t="str">
        <x:f>IF(OR(G62="",I62=""),"",G62*I62)</x:f>
      </x:c>
      <x:c r="K62" s="13"/>
      <x:c r="L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22"/>
      <x:c r="J63" s="22" t="str">
        <x:f>IF(OR(G63="",I63=""),"",G63*I63)</x:f>
      </x:c>
      <x:c r="K63" s="13"/>
      <x:c r="L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22"/>
      <x:c r="J64" s="22" t="str">
        <x:f>IF(OR(G64="",I64=""),"",G64*I64)</x:f>
      </x:c>
      <x:c r="K64" s="13"/>
      <x:c r="L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22"/>
      <x:c r="J65" s="22" t="str">
        <x:f>IF(OR(G65="",I65=""),"",G65*I65)</x:f>
      </x:c>
      <x:c r="K65" s="13"/>
      <x:c r="L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22"/>
      <x:c r="J66" s="22" t="str">
        <x:f>IF(OR(G66="",I66=""),"",G66*I66)</x:f>
      </x:c>
      <x:c r="K66" s="13"/>
      <x:c r="L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22"/>
      <x:c r="J67" s="22" t="str">
        <x:f>IF(OR(G67="",I67=""),"",G67*I67)</x:f>
      </x:c>
      <x:c r="K67" s="13"/>
      <x:c r="L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22"/>
      <x:c r="J68" s="22" t="str">
        <x:f>IF(OR(G68="",I68=""),"",G68*I68)</x:f>
      </x:c>
      <x:c r="K68" s="13"/>
      <x:c r="L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22"/>
      <x:c r="J69" s="22" t="str">
        <x:f>IF(OR(G69="",I69=""),"",G69*I69)</x:f>
      </x:c>
      <x:c r="K69" s="13"/>
      <x:c r="L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22"/>
      <x:c r="J70" s="22" t="str">
        <x:f>IF(OR(G70="",I70=""),"",G70*I70)</x:f>
      </x:c>
      <x:c r="K70" s="13"/>
      <x:c r="L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22"/>
      <x:c r="J71" s="22" t="str">
        <x:f>IF(OR(G71="",I71=""),"",G71*I71)</x:f>
      </x:c>
      <x:c r="K71" s="13"/>
      <x:c r="L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22"/>
      <x:c r="J72" s="22" t="str">
        <x:f>IF(OR(G72="",I72=""),"",G72*I72)</x:f>
      </x:c>
      <x:c r="K72" s="13"/>
      <x:c r="L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22"/>
      <x:c r="J73" s="22" t="str">
        <x:f>IF(OR(G73="",I73=""),"",G73*I73)</x:f>
      </x:c>
      <x:c r="K73" s="13"/>
      <x:c r="L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22"/>
      <x:c r="J74" s="22" t="str">
        <x:f>IF(OR(G74="",I74=""),"",G74*I74)</x:f>
      </x:c>
      <x:c r="K74" s="13"/>
      <x:c r="L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22"/>
      <x:c r="J75" s="22" t="str">
        <x:f>IF(OR(G75="",I75=""),"",G75*I75)</x:f>
      </x:c>
      <x:c r="K75" s="13"/>
      <x:c r="L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22"/>
      <x:c r="J76" s="22" t="str">
        <x:f>IF(OR(G76="",I76=""),"",G76*I76)</x:f>
      </x:c>
      <x:c r="K76" s="13"/>
      <x:c r="L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22"/>
      <x:c r="J77" s="22" t="str">
        <x:f>IF(OR(G77="",I77=""),"",G77*I77)</x:f>
      </x:c>
      <x:c r="K77" s="13"/>
      <x:c r="L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22"/>
      <x:c r="J78" s="22" t="str">
        <x:f>IF(OR(G78="",I78=""),"",G78*I78)</x:f>
      </x:c>
      <x:c r="K78" s="13"/>
      <x:c r="L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22"/>
      <x:c r="J79" s="22" t="str">
        <x:f>IF(OR(G79="",I79=""),"",G79*I79)</x:f>
      </x:c>
      <x:c r="K79" s="13"/>
      <x:c r="L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22"/>
      <x:c r="J80" s="22" t="str">
        <x:f>IF(OR(G80="",I80=""),"",G80*I80)</x:f>
      </x:c>
      <x:c r="K80" s="13"/>
      <x:c r="L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22"/>
      <x:c r="J81" s="22" t="str">
        <x:f>IF(OR(G81="",I81=""),"",G81*I81)</x:f>
      </x:c>
      <x:c r="K81" s="13"/>
      <x:c r="L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22"/>
      <x:c r="J82" s="22" t="str">
        <x:f>IF(OR(G82="",I82=""),"",G82*I82)</x:f>
      </x:c>
      <x:c r="K82" s="13"/>
      <x:c r="L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22"/>
      <x:c r="J83" s="22" t="str">
        <x:f>IF(OR(G83="",I83=""),"",G83*I83)</x:f>
      </x:c>
      <x:c r="K83" s="13"/>
      <x:c r="L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22"/>
      <x:c r="J84" s="22" t="str">
        <x:f>IF(OR(G84="",I84=""),"",G84*I84)</x:f>
      </x:c>
      <x:c r="K84" s="13"/>
      <x:c r="L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22"/>
      <x:c r="J85" s="22" t="str">
        <x:f>IF(OR(G85="",I85=""),"",G85*I85)</x:f>
      </x:c>
      <x:c r="K85" s="13"/>
      <x:c r="L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22"/>
      <x:c r="J86" s="22" t="str">
        <x:f>IF(OR(G86="",I86=""),"",G86*I86)</x:f>
      </x:c>
      <x:c r="K86" s="13"/>
      <x:c r="L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22"/>
      <x:c r="J87" s="22" t="str">
        <x:f>IF(OR(G87="",I87=""),"",G87*I87)</x:f>
      </x:c>
      <x:c r="K87" s="13"/>
      <x:c r="L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22"/>
      <x:c r="J88" s="22" t="str">
        <x:f>IF(OR(G88="",I88=""),"",G88*I88)</x:f>
      </x:c>
      <x:c r="K88" s="13"/>
      <x:c r="L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22"/>
      <x:c r="J89" s="22" t="str">
        <x:f>IF(OR(G89="",I89=""),"",G89*I89)</x:f>
      </x:c>
      <x:c r="K89" s="13"/>
      <x:c r="L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22"/>
      <x:c r="J90" s="22" t="str">
        <x:f>IF(OR(G90="",I90=""),"",G90*I90)</x:f>
      </x:c>
      <x:c r="K90" s="13"/>
      <x:c r="L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22"/>
      <x:c r="J91" s="22" t="str">
        <x:f>IF(OR(G91="",I91=""),"",G91*I91)</x:f>
      </x:c>
      <x:c r="K91" s="13"/>
      <x:c r="L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22"/>
      <x:c r="J92" s="22" t="str">
        <x:f>IF(OR(G92="",I92=""),"",G92*I92)</x:f>
      </x:c>
      <x:c r="K92" s="13"/>
      <x:c r="L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22"/>
      <x:c r="J93" s="22" t="str">
        <x:f>IF(OR(G93="",I93=""),"",G93*I93)</x:f>
      </x:c>
      <x:c r="K93" s="13"/>
      <x:c r="L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22"/>
      <x:c r="J94" s="22" t="str">
        <x:f>IF(OR(G94="",I94=""),"",G94*I94)</x:f>
      </x:c>
      <x:c r="K94" s="13"/>
      <x:c r="L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22"/>
      <x:c r="J95" s="22" t="str">
        <x:f>IF(OR(G95="",I95=""),"",G95*I95)</x:f>
      </x:c>
      <x:c r="K95" s="13"/>
      <x:c r="L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22"/>
      <x:c r="J96" s="22" t="str">
        <x:f>IF(OR(G96="",I96=""),"",G96*I96)</x:f>
      </x:c>
      <x:c r="K96" s="13"/>
      <x:c r="L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22"/>
      <x:c r="J97" s="22" t="str">
        <x:f>IF(OR(G97="",I97=""),"",G97*I97)</x:f>
      </x:c>
      <x:c r="K97" s="13"/>
      <x:c r="L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22"/>
      <x:c r="J98" s="22" t="str">
        <x:f>IF(OR(G98="",I98=""),"",G98*I98)</x:f>
      </x:c>
      <x:c r="K98" s="13"/>
      <x:c r="L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22"/>
      <x:c r="J99" s="22" t="str">
        <x:f>IF(OR(G99="",I99=""),"",G99*I99)</x:f>
      </x:c>
      <x:c r="K99" s="13"/>
      <x:c r="L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22"/>
      <x:c r="J100" s="22" t="str">
        <x:f>IF(OR(G100="",I100=""),"",G100*I100)</x:f>
      </x:c>
      <x:c r="K100" s="13"/>
      <x:c r="L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22"/>
      <x:c r="J101" s="22" t="str">
        <x:f>IF(OR(G101="",I101=""),"",G101*I101)</x:f>
      </x:c>
      <x:c r="K101" s="13"/>
      <x:c r="L101" s="13"/>
    </x:row>
  </x:sheetData>
  <x:pageMargins left="0.7" right="0.7" top="0.75" bottom="0.75" header="0.3" footer="0.3"/>
  <x:tableParts count="1">
    <x:tablePart xmlns:r="http://schemas.openxmlformats.org/officeDocument/2006/relationships" r:id="Ra891e54df48d45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32" hidden="0" customWidth="1"/>
    <x:col min="5" max="5" width="22" hidden="0" customWidth="1"/>
    <x:col min="6" max="6" width="16" hidden="0" customWidth="1"/>
    <x:col min="7" max="7" width="42" hidden="0" customWidth="1"/>
    <x:col min="8" max="8" width="14" hidden="0" customWidth="1"/>
    <x:col min="9" max="9" width="18" hidden="0" customWidth="1"/>
    <x:col min="10" max="10" width="36" hidden="0" customWidth="1"/>
    <x:col min="11" max="11" width="16" hidden="0" customWidth="1"/>
    <x:col min="12" max="12" width="20" hidden="0" customWidth="1"/>
    <x:col min="13" max="13" width="20" hidden="0" customWidth="1"/>
    <x:col min="14" max="14" width="16" hidden="0" customWidth="1"/>
    <x:col min="15" max="15" width="30" hidden="0" customWidth="1"/>
    <x:col min="16" max="16" width="14" hidden="0" customWidth="1"/>
  </x:cols>
  <x:sheetData>
    <x:row r="1">
      <x:c r="A1" s="18" t="str">
        <x:v>ID</x:v>
      </x:c>
      <x:c r="B1" s="18" t="str">
        <x:v>Позиция</x:v>
      </x:c>
      <x:c r="C1" s="18" t="str">
        <x:v>Товар по ТЗ</x:v>
      </x:c>
      <x:c r="D1" s="18" t="str">
        <x:v>Найденный товар</x:v>
      </x:c>
      <x:c r="E1" s="18" t="str">
        <x:v>Поставщик</x:v>
      </x:c>
      <x:c r="F1" s="18" t="str">
        <x:v>Город</x:v>
      </x:c>
      <x:c r="G1" s="18" t="str">
        <x:v>Ссылка</x:v>
      </x:c>
      <x:c r="H1" s="18" t="str">
        <x:v>Цена ед.</x:v>
      </x:c>
      <x:c r="I1" s="18" t="str">
        <x:v>Фасовка</x:v>
      </x:c>
      <x:c r="J1" s="18" t="str">
        <x:v>Назначение/описание</x:v>
      </x:c>
      <x:c r="K1" s="18" t="str">
        <x:v>Наличие</x:v>
      </x:c>
      <x:c r="L1" s="18" t="str">
        <x:v>Доставка</x:v>
      </x:c>
      <x:c r="M1" s="18" t="str">
        <x:v>Статус соответствия</x:v>
      </x:c>
      <x:c r="N1" s="18" t="str">
        <x:v>Риск</x:v>
      </x:c>
      <x:c r="O1" s="18" t="str">
        <x:v>Что проверить</x:v>
      </x:c>
      <x:c r="P1" s="18" t="str">
        <x:v>Дата проверки</x:v>
      </x:c>
    </x:row>
    <x:row r="2">
      <x:c r="A2" s="13"/>
      <x:c r="B2" s="13"/>
      <x:c r="C2" s="13"/>
      <x:c r="D2" s="13"/>
      <x:c r="E2" s="13"/>
      <x:c r="F2" s="13"/>
      <x:c r="G2" s="13"/>
      <x:c r="H2" s="22"/>
      <x:c r="I2" s="13"/>
      <x:c r="J2" s="13"/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22"/>
      <x:c r="I3" s="13"/>
      <x:c r="J3" s="13"/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22"/>
      <x:c r="I4" s="13"/>
      <x:c r="J4" s="13"/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22"/>
      <x:c r="I5" s="13"/>
      <x:c r="J5" s="13"/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22"/>
      <x:c r="I6" s="13"/>
      <x:c r="J6" s="13"/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22"/>
      <x:c r="I7" s="13"/>
      <x:c r="J7" s="13"/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22"/>
      <x:c r="I8" s="13"/>
      <x:c r="J8" s="13"/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22"/>
      <x:c r="I9" s="13"/>
      <x:c r="J9" s="13"/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22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22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22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22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22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22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22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22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22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22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22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22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22"/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22"/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22"/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22"/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22"/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22"/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22"/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22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22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22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22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22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22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22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22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22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22"/>
      <x:c r="I38" s="13"/>
      <x:c r="J38" s="13"/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22"/>
      <x:c r="I39" s="13"/>
      <x:c r="J39" s="13"/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22"/>
      <x:c r="I40" s="13"/>
      <x:c r="J40" s="13"/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22"/>
      <x:c r="I41" s="13"/>
      <x:c r="J41" s="13"/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22"/>
      <x:c r="I42" s="13"/>
      <x:c r="J42" s="13"/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22"/>
      <x:c r="I43" s="13"/>
      <x:c r="J43" s="13"/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22"/>
      <x:c r="I44" s="13"/>
      <x:c r="J44" s="13"/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22"/>
      <x:c r="I45" s="13"/>
      <x:c r="J45" s="13"/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22"/>
      <x:c r="I46" s="13"/>
      <x:c r="J46" s="13"/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22"/>
      <x:c r="I47" s="13"/>
      <x:c r="J47" s="13"/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22"/>
      <x:c r="I48" s="13"/>
      <x:c r="J48" s="13"/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22"/>
      <x:c r="I49" s="13"/>
      <x:c r="J49" s="13"/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22"/>
      <x:c r="I50" s="13"/>
      <x:c r="J50" s="13"/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22"/>
      <x:c r="I51" s="13"/>
      <x:c r="J51" s="13"/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22"/>
      <x:c r="I52" s="13"/>
      <x:c r="J52" s="13"/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22"/>
      <x:c r="I53" s="13"/>
      <x:c r="J53" s="13"/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22"/>
      <x:c r="I54" s="13"/>
      <x:c r="J54" s="13"/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22"/>
      <x:c r="I55" s="13"/>
      <x:c r="J55" s="13"/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22"/>
      <x:c r="I56" s="13"/>
      <x:c r="J56" s="13"/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22"/>
      <x:c r="I57" s="13"/>
      <x:c r="J57" s="13"/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22"/>
      <x:c r="I58" s="13"/>
      <x:c r="J58" s="13"/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22"/>
      <x:c r="I59" s="13"/>
      <x:c r="J59" s="13"/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22"/>
      <x:c r="I60" s="13"/>
      <x:c r="J60" s="13"/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22"/>
      <x:c r="I61" s="13"/>
      <x:c r="J61" s="13"/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22"/>
      <x:c r="I62" s="13"/>
      <x:c r="J62" s="13"/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22"/>
      <x:c r="I63" s="13"/>
      <x:c r="J63" s="13"/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22"/>
      <x:c r="I64" s="13"/>
      <x:c r="J64" s="13"/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22"/>
      <x:c r="I65" s="13"/>
      <x:c r="J65" s="13"/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22"/>
      <x:c r="I66" s="13"/>
      <x:c r="J66" s="13"/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22"/>
      <x:c r="I67" s="13"/>
      <x:c r="J67" s="13"/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22"/>
      <x:c r="I68" s="13"/>
      <x:c r="J68" s="13"/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22"/>
      <x:c r="I69" s="13"/>
      <x:c r="J69" s="13"/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22"/>
      <x:c r="I70" s="13"/>
      <x:c r="J70" s="13"/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22"/>
      <x:c r="I71" s="13"/>
      <x:c r="J71" s="13"/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22"/>
      <x:c r="I72" s="13"/>
      <x:c r="J72" s="13"/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22"/>
      <x:c r="I73" s="13"/>
      <x:c r="J73" s="13"/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22"/>
      <x:c r="I74" s="13"/>
      <x:c r="J74" s="13"/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22"/>
      <x:c r="I75" s="13"/>
      <x:c r="J75" s="13"/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22"/>
      <x:c r="I76" s="13"/>
      <x:c r="J76" s="13"/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22"/>
      <x:c r="I77" s="13"/>
      <x:c r="J77" s="13"/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22"/>
      <x:c r="I78" s="13"/>
      <x:c r="J78" s="13"/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22"/>
      <x:c r="I79" s="13"/>
      <x:c r="J79" s="13"/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22"/>
      <x:c r="I80" s="13"/>
      <x:c r="J80" s="13"/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22"/>
      <x:c r="I81" s="13"/>
      <x:c r="J81" s="13"/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22"/>
      <x:c r="I82" s="13"/>
      <x:c r="J82" s="13"/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22"/>
      <x:c r="I83" s="13"/>
      <x:c r="J83" s="13"/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22"/>
      <x:c r="I84" s="13"/>
      <x:c r="J84" s="13"/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22"/>
      <x:c r="I85" s="13"/>
      <x:c r="J85" s="13"/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22"/>
      <x:c r="I86" s="13"/>
      <x:c r="J86" s="13"/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22"/>
      <x:c r="I87" s="13"/>
      <x:c r="J87" s="13"/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22"/>
      <x:c r="I88" s="13"/>
      <x:c r="J88" s="13"/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22"/>
      <x:c r="I89" s="13"/>
      <x:c r="J89" s="13"/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22"/>
      <x:c r="I90" s="13"/>
      <x:c r="J90" s="13"/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22"/>
      <x:c r="I91" s="13"/>
      <x:c r="J91" s="13"/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22"/>
      <x:c r="I92" s="13"/>
      <x:c r="J92" s="13"/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22"/>
      <x:c r="I93" s="13"/>
      <x:c r="J93" s="13"/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22"/>
      <x:c r="I94" s="13"/>
      <x:c r="J94" s="13"/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22"/>
      <x:c r="I95" s="13"/>
      <x:c r="J95" s="13"/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22"/>
      <x:c r="I96" s="13"/>
      <x:c r="J96" s="13"/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22"/>
      <x:c r="I97" s="13"/>
      <x:c r="J97" s="13"/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22"/>
      <x:c r="I98" s="13"/>
      <x:c r="J98" s="13"/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22"/>
      <x:c r="I99" s="13"/>
      <x:c r="J99" s="13"/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22"/>
      <x:c r="I100" s="13"/>
      <x:c r="J100" s="13"/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22"/>
      <x:c r="I101" s="13"/>
      <x:c r="J101" s="13"/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22"/>
      <x:c r="I102" s="13"/>
      <x:c r="J102" s="13"/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22"/>
      <x:c r="I103" s="13"/>
      <x:c r="J103" s="13"/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22"/>
      <x:c r="I104" s="13"/>
      <x:c r="J104" s="13"/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22"/>
      <x:c r="I105" s="13"/>
      <x:c r="J105" s="13"/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22"/>
      <x:c r="I106" s="13"/>
      <x:c r="J106" s="13"/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22"/>
      <x:c r="I107" s="13"/>
      <x:c r="J107" s="13"/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22"/>
      <x:c r="I108" s="13"/>
      <x:c r="J108" s="13"/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22"/>
      <x:c r="I109" s="13"/>
      <x:c r="J109" s="13"/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22"/>
      <x:c r="I110" s="13"/>
      <x:c r="J110" s="13"/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22"/>
      <x:c r="I111" s="13"/>
      <x:c r="J111" s="13"/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22"/>
      <x:c r="I112" s="13"/>
      <x:c r="J112" s="13"/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22"/>
      <x:c r="I113" s="13"/>
      <x:c r="J113" s="13"/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22"/>
      <x:c r="I114" s="13"/>
      <x:c r="J114" s="13"/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22"/>
      <x:c r="I115" s="13"/>
      <x:c r="J115" s="13"/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22"/>
      <x:c r="I116" s="13"/>
      <x:c r="J116" s="13"/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22"/>
      <x:c r="I117" s="13"/>
      <x:c r="J117" s="13"/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22"/>
      <x:c r="I118" s="13"/>
      <x:c r="J118" s="13"/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22"/>
      <x:c r="I119" s="13"/>
      <x:c r="J119" s="13"/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22"/>
      <x:c r="I120" s="13"/>
      <x:c r="J120" s="13"/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22"/>
      <x:c r="I121" s="13"/>
      <x:c r="J121" s="13"/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22"/>
      <x:c r="I122" s="13"/>
      <x:c r="J122" s="13"/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22"/>
      <x:c r="I123" s="13"/>
      <x:c r="J123" s="13"/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22"/>
      <x:c r="I124" s="13"/>
      <x:c r="J124" s="13"/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22"/>
      <x:c r="I125" s="13"/>
      <x:c r="J125" s="13"/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22"/>
      <x:c r="I126" s="13"/>
      <x:c r="J126" s="13"/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22"/>
      <x:c r="I127" s="13"/>
      <x:c r="J127" s="13"/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22"/>
      <x:c r="I128" s="13"/>
      <x:c r="J128" s="13"/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22"/>
      <x:c r="I129" s="13"/>
      <x:c r="J129" s="13"/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22"/>
      <x:c r="I130" s="13"/>
      <x:c r="J130" s="13"/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22"/>
      <x:c r="I131" s="13"/>
      <x:c r="J131" s="13"/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22"/>
      <x:c r="I132" s="13"/>
      <x:c r="J132" s="13"/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22"/>
      <x:c r="I133" s="13"/>
      <x:c r="J133" s="13"/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22"/>
      <x:c r="I134" s="13"/>
      <x:c r="J134" s="13"/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22"/>
      <x:c r="I135" s="13"/>
      <x:c r="J135" s="13"/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22"/>
      <x:c r="I136" s="13"/>
      <x:c r="J136" s="13"/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22"/>
      <x:c r="I137" s="13"/>
      <x:c r="J137" s="13"/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22"/>
      <x:c r="I138" s="13"/>
      <x:c r="J138" s="13"/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22"/>
      <x:c r="I139" s="13"/>
      <x:c r="J139" s="13"/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22"/>
      <x:c r="I140" s="13"/>
      <x:c r="J140" s="13"/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22"/>
      <x:c r="I141" s="13"/>
      <x:c r="J141" s="13"/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22"/>
      <x:c r="I142" s="13"/>
      <x:c r="J142" s="13"/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22"/>
      <x:c r="I143" s="13"/>
      <x:c r="J143" s="13"/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22"/>
      <x:c r="I144" s="13"/>
      <x:c r="J144" s="13"/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22"/>
      <x:c r="I145" s="13"/>
      <x:c r="J145" s="13"/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22"/>
      <x:c r="I146" s="13"/>
      <x:c r="J146" s="13"/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22"/>
      <x:c r="I147" s="13"/>
      <x:c r="J147" s="13"/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22"/>
      <x:c r="I148" s="13"/>
      <x:c r="J148" s="13"/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22"/>
      <x:c r="I149" s="13"/>
      <x:c r="J149" s="13"/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22"/>
      <x:c r="I150" s="13"/>
      <x:c r="J150" s="13"/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22"/>
      <x:c r="I151" s="13"/>
      <x:c r="J151" s="13"/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22"/>
      <x:c r="I152" s="13"/>
      <x:c r="J152" s="13"/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22"/>
      <x:c r="I153" s="13"/>
      <x:c r="J153" s="13"/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22"/>
      <x:c r="I154" s="13"/>
      <x:c r="J154" s="13"/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22"/>
      <x:c r="I155" s="13"/>
      <x:c r="J155" s="13"/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22"/>
      <x:c r="I156" s="13"/>
      <x:c r="J156" s="13"/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22"/>
      <x:c r="I157" s="13"/>
      <x:c r="J157" s="13"/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22"/>
      <x:c r="I158" s="13"/>
      <x:c r="J158" s="13"/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22"/>
      <x:c r="I159" s="13"/>
      <x:c r="J159" s="13"/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22"/>
      <x:c r="I160" s="13"/>
      <x:c r="J160" s="13"/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22"/>
      <x:c r="I161" s="13"/>
      <x:c r="J161" s="13"/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22"/>
      <x:c r="I162" s="13"/>
      <x:c r="J162" s="13"/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22"/>
      <x:c r="I163" s="13"/>
      <x:c r="J163" s="13"/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22"/>
      <x:c r="I164" s="13"/>
      <x:c r="J164" s="13"/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22"/>
      <x:c r="I165" s="13"/>
      <x:c r="J165" s="13"/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22"/>
      <x:c r="I166" s="13"/>
      <x:c r="J166" s="13"/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22"/>
      <x:c r="I167" s="13"/>
      <x:c r="J167" s="13"/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22"/>
      <x:c r="I168" s="13"/>
      <x:c r="J168" s="13"/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22"/>
      <x:c r="I169" s="13"/>
      <x:c r="J169" s="13"/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22"/>
      <x:c r="I170" s="13"/>
      <x:c r="J170" s="13"/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22"/>
      <x:c r="I171" s="13"/>
      <x:c r="J171" s="13"/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22"/>
      <x:c r="I172" s="13"/>
      <x:c r="J172" s="13"/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22"/>
      <x:c r="I173" s="13"/>
      <x:c r="J173" s="13"/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22"/>
      <x:c r="I174" s="13"/>
      <x:c r="J174" s="13"/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22"/>
      <x:c r="I175" s="13"/>
      <x:c r="J175" s="13"/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22"/>
      <x:c r="I176" s="13"/>
      <x:c r="J176" s="13"/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22"/>
      <x:c r="I177" s="13"/>
      <x:c r="J177" s="13"/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22"/>
      <x:c r="I178" s="13"/>
      <x:c r="J178" s="13"/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22"/>
      <x:c r="I179" s="13"/>
      <x:c r="J179" s="13"/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22"/>
      <x:c r="I180" s="13"/>
      <x:c r="J180" s="13"/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22"/>
      <x:c r="I181" s="13"/>
      <x:c r="J181" s="13"/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22"/>
      <x:c r="I182" s="13"/>
      <x:c r="J182" s="13"/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22"/>
      <x:c r="I183" s="13"/>
      <x:c r="J183" s="13"/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22"/>
      <x:c r="I184" s="13"/>
      <x:c r="J184" s="13"/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22"/>
      <x:c r="I185" s="13"/>
      <x:c r="J185" s="13"/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22"/>
      <x:c r="I186" s="13"/>
      <x:c r="J186" s="13"/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22"/>
      <x:c r="I187" s="13"/>
      <x:c r="J187" s="13"/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22"/>
      <x:c r="I188" s="13"/>
      <x:c r="J188" s="13"/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22"/>
      <x:c r="I189" s="13"/>
      <x:c r="J189" s="13"/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22"/>
      <x:c r="I190" s="13"/>
      <x:c r="J190" s="13"/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22"/>
      <x:c r="I191" s="13"/>
      <x:c r="J191" s="13"/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22"/>
      <x:c r="I192" s="13"/>
      <x:c r="J192" s="13"/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22"/>
      <x:c r="I193" s="13"/>
      <x:c r="J193" s="13"/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22"/>
      <x:c r="I194" s="13"/>
      <x:c r="J194" s="13"/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22"/>
      <x:c r="I195" s="13"/>
      <x:c r="J195" s="13"/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22"/>
      <x:c r="I196" s="13"/>
      <x:c r="J196" s="13"/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22"/>
      <x:c r="I197" s="13"/>
      <x:c r="J197" s="13"/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22"/>
      <x:c r="I198" s="13"/>
      <x:c r="J198" s="13"/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22"/>
      <x:c r="I199" s="13"/>
      <x:c r="J199" s="13"/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22"/>
      <x:c r="I200" s="13"/>
      <x:c r="J200" s="13"/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22"/>
      <x:c r="I201" s="13"/>
      <x:c r="J201" s="13"/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22"/>
      <x:c r="I202" s="13"/>
      <x:c r="J202" s="13"/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22"/>
      <x:c r="I203" s="13"/>
      <x:c r="J203" s="13"/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22"/>
      <x:c r="I204" s="13"/>
      <x:c r="J204" s="13"/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22"/>
      <x:c r="I205" s="13"/>
      <x:c r="J205" s="13"/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22"/>
      <x:c r="I206" s="13"/>
      <x:c r="J206" s="13"/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22"/>
      <x:c r="I207" s="13"/>
      <x:c r="J207" s="13"/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22"/>
      <x:c r="I208" s="13"/>
      <x:c r="J208" s="13"/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22"/>
      <x:c r="I209" s="13"/>
      <x:c r="J209" s="13"/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22"/>
      <x:c r="I210" s="13"/>
      <x:c r="J210" s="13"/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22"/>
      <x:c r="I211" s="13"/>
      <x:c r="J211" s="13"/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22"/>
      <x:c r="I212" s="13"/>
      <x:c r="J212" s="13"/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22"/>
      <x:c r="I213" s="13"/>
      <x:c r="J213" s="13"/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22"/>
      <x:c r="I214" s="13"/>
      <x:c r="J214" s="13"/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22"/>
      <x:c r="I215" s="13"/>
      <x:c r="J215" s="13"/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22"/>
      <x:c r="I216" s="13"/>
      <x:c r="J216" s="13"/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22"/>
      <x:c r="I217" s="13"/>
      <x:c r="J217" s="13"/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22"/>
      <x:c r="I218" s="13"/>
      <x:c r="J218" s="13"/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22"/>
      <x:c r="I219" s="13"/>
      <x:c r="J219" s="13"/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22"/>
      <x:c r="I220" s="13"/>
      <x:c r="J220" s="13"/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22"/>
      <x:c r="I221" s="13"/>
      <x:c r="J221" s="13"/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22"/>
      <x:c r="I222" s="13"/>
      <x:c r="J222" s="13"/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22"/>
      <x:c r="I223" s="13"/>
      <x:c r="J223" s="13"/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22"/>
      <x:c r="I224" s="13"/>
      <x:c r="J224" s="13"/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22"/>
      <x:c r="I225" s="13"/>
      <x:c r="J225" s="13"/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22"/>
      <x:c r="I226" s="13"/>
      <x:c r="J226" s="13"/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22"/>
      <x:c r="I227" s="13"/>
      <x:c r="J227" s="13"/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22"/>
      <x:c r="I228" s="13"/>
      <x:c r="J228" s="13"/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22"/>
      <x:c r="I229" s="13"/>
      <x:c r="J229" s="13"/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22"/>
      <x:c r="I230" s="13"/>
      <x:c r="J230" s="13"/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22"/>
      <x:c r="I231" s="13"/>
      <x:c r="J231" s="13"/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22"/>
      <x:c r="I232" s="13"/>
      <x:c r="J232" s="13"/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22"/>
      <x:c r="I233" s="13"/>
      <x:c r="J233" s="13"/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22"/>
      <x:c r="I234" s="13"/>
      <x:c r="J234" s="13"/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22"/>
      <x:c r="I235" s="13"/>
      <x:c r="J235" s="13"/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22"/>
      <x:c r="I236" s="13"/>
      <x:c r="J236" s="13"/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22"/>
      <x:c r="I237" s="13"/>
      <x:c r="J237" s="13"/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22"/>
      <x:c r="I238" s="13"/>
      <x:c r="J238" s="13"/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22"/>
      <x:c r="I239" s="13"/>
      <x:c r="J239" s="13"/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22"/>
      <x:c r="I240" s="13"/>
      <x:c r="J240" s="13"/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22"/>
      <x:c r="I241" s="13"/>
      <x:c r="J241" s="13"/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22"/>
      <x:c r="I242" s="13"/>
      <x:c r="J242" s="13"/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22"/>
      <x:c r="I243" s="13"/>
      <x:c r="J243" s="13"/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22"/>
      <x:c r="I244" s="13"/>
      <x:c r="J244" s="13"/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22"/>
      <x:c r="I245" s="13"/>
      <x:c r="J245" s="13"/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22"/>
      <x:c r="I246" s="13"/>
      <x:c r="J246" s="13"/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22"/>
      <x:c r="I247" s="13"/>
      <x:c r="J247" s="13"/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22"/>
      <x:c r="I248" s="13"/>
      <x:c r="J248" s="13"/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22"/>
      <x:c r="I249" s="13"/>
      <x:c r="J249" s="13"/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22"/>
      <x:c r="I250" s="13"/>
      <x:c r="J250" s="13"/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22"/>
      <x:c r="I251" s="13"/>
      <x:c r="J251" s="13"/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22"/>
      <x:c r="I252" s="13"/>
      <x:c r="J252" s="13"/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22"/>
      <x:c r="I253" s="13"/>
      <x:c r="J253" s="13"/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22"/>
      <x:c r="I254" s="13"/>
      <x:c r="J254" s="13"/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22"/>
      <x:c r="I255" s="13"/>
      <x:c r="J255" s="13"/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22"/>
      <x:c r="I256" s="13"/>
      <x:c r="J256" s="13"/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22"/>
      <x:c r="I257" s="13"/>
      <x:c r="J257" s="13"/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22"/>
      <x:c r="I258" s="13"/>
      <x:c r="J258" s="13"/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22"/>
      <x:c r="I259" s="13"/>
      <x:c r="J259" s="13"/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22"/>
      <x:c r="I260" s="13"/>
      <x:c r="J260" s="13"/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22"/>
      <x:c r="I261" s="13"/>
      <x:c r="J261" s="13"/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22"/>
      <x:c r="I262" s="13"/>
      <x:c r="J262" s="13"/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22"/>
      <x:c r="I263" s="13"/>
      <x:c r="J263" s="13"/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22"/>
      <x:c r="I264" s="13"/>
      <x:c r="J264" s="13"/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22"/>
      <x:c r="I265" s="13"/>
      <x:c r="J265" s="13"/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22"/>
      <x:c r="I266" s="13"/>
      <x:c r="J266" s="13"/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22"/>
      <x:c r="I267" s="13"/>
      <x:c r="J267" s="13"/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22"/>
      <x:c r="I268" s="13"/>
      <x:c r="J268" s="13"/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22"/>
      <x:c r="I269" s="13"/>
      <x:c r="J269" s="13"/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22"/>
      <x:c r="I270" s="13"/>
      <x:c r="J270" s="13"/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22"/>
      <x:c r="I271" s="13"/>
      <x:c r="J271" s="13"/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22"/>
      <x:c r="I272" s="13"/>
      <x:c r="J272" s="13"/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22"/>
      <x:c r="I273" s="13"/>
      <x:c r="J273" s="13"/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22"/>
      <x:c r="I274" s="13"/>
      <x:c r="J274" s="13"/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22"/>
      <x:c r="I275" s="13"/>
      <x:c r="J275" s="13"/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22"/>
      <x:c r="I276" s="13"/>
      <x:c r="J276" s="13"/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22"/>
      <x:c r="I277" s="13"/>
      <x:c r="J277" s="13"/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22"/>
      <x:c r="I278" s="13"/>
      <x:c r="J278" s="13"/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22"/>
      <x:c r="I279" s="13"/>
      <x:c r="J279" s="13"/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22"/>
      <x:c r="I280" s="13"/>
      <x:c r="J280" s="13"/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22"/>
      <x:c r="I281" s="13"/>
      <x:c r="J281" s="13"/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22"/>
      <x:c r="I282" s="13"/>
      <x:c r="J282" s="13"/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22"/>
      <x:c r="I283" s="13"/>
      <x:c r="J283" s="13"/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22"/>
      <x:c r="I284" s="13"/>
      <x:c r="J284" s="13"/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22"/>
      <x:c r="I285" s="13"/>
      <x:c r="J285" s="13"/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22"/>
      <x:c r="I286" s="13"/>
      <x:c r="J286" s="13"/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22"/>
      <x:c r="I287" s="13"/>
      <x:c r="J287" s="13"/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22"/>
      <x:c r="I288" s="13"/>
      <x:c r="J288" s="13"/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22"/>
      <x:c r="I289" s="13"/>
      <x:c r="J289" s="13"/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22"/>
      <x:c r="I290" s="13"/>
      <x:c r="J290" s="13"/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22"/>
      <x:c r="I291" s="13"/>
      <x:c r="J291" s="13"/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22"/>
      <x:c r="I292" s="13"/>
      <x:c r="J292" s="13"/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22"/>
      <x:c r="I293" s="13"/>
      <x:c r="J293" s="13"/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22"/>
      <x:c r="I294" s="13"/>
      <x:c r="J294" s="13"/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22"/>
      <x:c r="I295" s="13"/>
      <x:c r="J295" s="13"/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22"/>
      <x:c r="I296" s="13"/>
      <x:c r="J296" s="13"/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22"/>
      <x:c r="I297" s="13"/>
      <x:c r="J297" s="13"/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22"/>
      <x:c r="I298" s="13"/>
      <x:c r="J298" s="13"/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22"/>
      <x:c r="I299" s="13"/>
      <x:c r="J299" s="13"/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22"/>
      <x:c r="I300" s="13"/>
      <x:c r="J300" s="13"/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22"/>
      <x:c r="I301" s="13"/>
      <x:c r="J301" s="13"/>
      <x:c r="K301" s="13"/>
      <x:c r="L301" s="13"/>
      <x:c r="M301" s="13"/>
      <x:c r="N301" s="13"/>
      <x:c r="O301" s="13"/>
      <x:c r="P301" s="13"/>
    </x:row>
  </x:sheetData>
  <x:dataValidations count="2">
    <x:dataValidation type="list" sqref="M2:M301">
      <x:formula1>"Точно подходит,Требует подтверждения,Возможно подходит,Не подходит"</x:formula1>
    </x:dataValidation>
    <x:dataValidation type="list" sqref="N2:N301">
      <x:formula1>"Низкий,Средний,Высокий,Критический"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b23aeaaab948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2" hidden="0" customWidth="1"/>
    <x:col min="4" max="4" width="30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4" hidden="0" customWidth="1"/>
    <x:col min="15" max="15" width="28" hidden="0" customWidth="1"/>
  </x:cols>
  <x:sheetData>
    <x:row r="1">
      <x:c r="A1" s="18" t="str">
        <x:v>Поставщик</x:v>
      </x:c>
      <x:c r="B1" s="18" t="str">
        <x:v>Город</x:v>
      </x:c>
      <x:c r="C1" s="18" t="str">
        <x:v>Контакт/сайт</x:v>
      </x:c>
      <x:c r="D1" s="18" t="str">
        <x:v>Товар</x:v>
      </x:c>
      <x:c r="E1" s="18" t="str">
        <x:v>Позиция</x:v>
      </x:c>
      <x:c r="F1" s="18" t="str">
        <x:v>Куда написали</x:v>
      </x:c>
      <x:c r="G1" s="18" t="str">
        <x:v>Время запроса</x:v>
      </x:c>
      <x:c r="H1" s="18" t="str">
        <x:v>Статус ответа</x:v>
      </x:c>
      <x:c r="I1" s="18" t="str">
        <x:v>Цена подтверждена</x:v>
      </x:c>
      <x:c r="J1" s="18" t="str">
        <x:v>Наличие подтверждено</x:v>
      </x:c>
      <x:c r="K1" s="18" t="str">
        <x:v>Фасовка подтверждена</x:v>
      </x:c>
      <x:c r="L1" s="18" t="str">
        <x:v>Назначение подтверждено</x:v>
      </x:c>
      <x:c r="M1" s="18" t="str">
        <x:v>Доставка подтверждена</x:v>
      </x:c>
      <x:c r="N1" s="18" t="str">
        <x:v>Ответ поставщика</x:v>
      </x:c>
      <x:c r="O1" s="18" t="str">
        <x:v>Следующий шаг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</x:row>
  </x:sheetData>
  <x:dataValidations count="2">
    <x:dataValidation type="list" sqref="H2:H201">
      <x:formula1>"Не писали,Ждём ответ,Ответил,Не ответил,Отказ,Можно заказывать"</x:formula1>
    </x:dataValidation>
    <x:dataValidation type="list" sqref="I2:M201">
      <x:formula1>"Да,Нет,Частично"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a4f610ab0c40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34" hidden="0" customWidth="1"/>
    <x:col min="5" max="5" width="34" hidden="0" customWidth="1"/>
    <x:col min="6" max="6" width="22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34" hidden="0" customWidth="1"/>
  </x:cols>
  <x:sheetData>
    <x:row r="1">
      <x:c r="A1" s="18" t="str">
        <x:v>Позиция</x:v>
      </x:c>
      <x:c r="B1" s="18" t="str">
        <x:v>Поставщик</x:v>
      </x:c>
      <x:c r="C1" s="18" t="str">
        <x:v>Город поставщика</x:v>
      </x:c>
      <x:c r="D1" s="18" t="str">
        <x:v>Адрес поставщика</x:v>
      </x:c>
      <x:c r="E1" s="18" t="str">
        <x:v>Адрес доставки</x:v>
      </x:c>
      <x:c r="F1" s="18" t="str">
        <x:v>Способ доставки</x:v>
      </x:c>
      <x:c r="G1" s="18" t="str">
        <x:v>Вес общий</x:v>
      </x:c>
      <x:c r="H1" s="18" t="str">
        <x:v>Объём/места</x:v>
      </x:c>
      <x:c r="I1" s="18" t="str">
        <x:v>Расстояние</x:v>
      </x:c>
      <x:c r="J1" s="18" t="str">
        <x:v>Время в пути</x:v>
      </x:c>
      <x:c r="K1" s="18" t="str">
        <x:v>Стоимость доставки</x:v>
      </x:c>
      <x:c r="L1" s="18" t="str">
        <x:v>Погрузка/разгрузка</x:v>
      </x:c>
      <x:c r="M1" s="18" t="str">
        <x:v>Срок</x:v>
      </x:c>
      <x:c r="N1" s="18" t="str">
        <x:v>Риск</x:v>
      </x:c>
      <x:c r="O1" s="18" t="str">
        <x:v>Комментарий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22"/>
      <x:c r="L2" s="22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22"/>
      <x:c r="L3" s="22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22"/>
      <x:c r="L4" s="22"/>
      <x:c r="M4" s="13"/>
      <x:c r="N4" s="13"/>
      <x:c r="O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22"/>
      <x:c r="L5" s="22"/>
      <x:c r="M5" s="13"/>
      <x:c r="N5" s="13"/>
      <x:c r="O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22"/>
      <x:c r="L6" s="22"/>
      <x:c r="M6" s="13"/>
      <x:c r="N6" s="13"/>
      <x:c r="O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22"/>
      <x:c r="L7" s="22"/>
      <x:c r="M7" s="13"/>
      <x:c r="N7" s="13"/>
      <x:c r="O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22"/>
      <x:c r="L8" s="22"/>
      <x:c r="M8" s="13"/>
      <x:c r="N8" s="13"/>
      <x:c r="O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22"/>
      <x:c r="L9" s="22"/>
      <x:c r="M9" s="13"/>
      <x:c r="N9" s="13"/>
      <x:c r="O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22"/>
      <x:c r="L10" s="22"/>
      <x:c r="M10" s="13"/>
      <x:c r="N10" s="13"/>
      <x:c r="O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22"/>
      <x:c r="L11" s="22"/>
      <x:c r="M11" s="13"/>
      <x:c r="N11" s="13"/>
      <x:c r="O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22"/>
      <x:c r="L12" s="22"/>
      <x:c r="M12" s="13"/>
      <x:c r="N12" s="13"/>
      <x:c r="O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22"/>
      <x:c r="L13" s="22"/>
      <x:c r="M13" s="13"/>
      <x:c r="N13" s="13"/>
      <x:c r="O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22"/>
      <x:c r="L14" s="22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22"/>
      <x:c r="L15" s="22"/>
      <x:c r="M15" s="13"/>
      <x:c r="N15" s="13"/>
      <x:c r="O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22"/>
      <x:c r="L16" s="22"/>
      <x:c r="M16" s="13"/>
      <x:c r="N16" s="13"/>
      <x:c r="O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22"/>
      <x:c r="L17" s="22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22"/>
      <x:c r="L18" s="22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22"/>
      <x:c r="L19" s="22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22"/>
      <x:c r="L20" s="22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22"/>
      <x:c r="L21" s="22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22"/>
      <x:c r="L22" s="22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22"/>
      <x:c r="L23" s="22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22"/>
      <x:c r="L24" s="22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22"/>
      <x:c r="L25" s="22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22"/>
      <x:c r="L26" s="22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22"/>
      <x:c r="L27" s="22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22"/>
      <x:c r="L28" s="22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22"/>
      <x:c r="L29" s="22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22"/>
      <x:c r="L30" s="22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22"/>
      <x:c r="L31" s="22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22"/>
      <x:c r="L32" s="22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22"/>
      <x:c r="L33" s="22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22"/>
      <x:c r="L34" s="22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22"/>
      <x:c r="L35" s="22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22"/>
      <x:c r="L36" s="22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22"/>
      <x:c r="L37" s="22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22"/>
      <x:c r="L38" s="22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22"/>
      <x:c r="L39" s="22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22"/>
      <x:c r="L40" s="22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22"/>
      <x:c r="L41" s="22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22"/>
      <x:c r="L42" s="22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22"/>
      <x:c r="L43" s="22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22"/>
      <x:c r="L44" s="22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22"/>
      <x:c r="L45" s="22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22"/>
      <x:c r="L46" s="22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22"/>
      <x:c r="L47" s="22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22"/>
      <x:c r="L48" s="22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22"/>
      <x:c r="L49" s="22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22"/>
      <x:c r="L50" s="22"/>
      <x:c r="M50" s="13"/>
      <x:c r="N50" s="13"/>
      <x:c r="O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22"/>
      <x:c r="L51" s="22"/>
      <x:c r="M51" s="13"/>
      <x:c r="N51" s="13"/>
      <x:c r="O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22"/>
      <x:c r="L52" s="22"/>
      <x:c r="M52" s="13"/>
      <x:c r="N52" s="13"/>
      <x:c r="O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22"/>
      <x:c r="L53" s="22"/>
      <x:c r="M53" s="13"/>
      <x:c r="N53" s="13"/>
      <x:c r="O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22"/>
      <x:c r="L54" s="22"/>
      <x:c r="M54" s="13"/>
      <x:c r="N54" s="13"/>
      <x:c r="O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22"/>
      <x:c r="L55" s="22"/>
      <x:c r="M55" s="13"/>
      <x:c r="N55" s="13"/>
      <x:c r="O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22"/>
      <x:c r="L56" s="22"/>
      <x:c r="M56" s="13"/>
      <x:c r="N56" s="13"/>
      <x:c r="O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22"/>
      <x:c r="L57" s="22"/>
      <x:c r="M57" s="13"/>
      <x:c r="N57" s="13"/>
      <x:c r="O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22"/>
      <x:c r="L58" s="22"/>
      <x:c r="M58" s="13"/>
      <x:c r="N58" s="13"/>
      <x:c r="O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22"/>
      <x:c r="L59" s="22"/>
      <x:c r="M59" s="13"/>
      <x:c r="N59" s="13"/>
      <x:c r="O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22"/>
      <x:c r="L60" s="22"/>
      <x:c r="M60" s="13"/>
      <x:c r="N60" s="13"/>
      <x:c r="O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22"/>
      <x:c r="L61" s="22"/>
      <x:c r="M61" s="13"/>
      <x:c r="N61" s="13"/>
      <x:c r="O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22"/>
      <x:c r="L62" s="22"/>
      <x:c r="M62" s="13"/>
      <x:c r="N62" s="13"/>
      <x:c r="O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22"/>
      <x:c r="L63" s="22"/>
      <x:c r="M63" s="13"/>
      <x:c r="N63" s="13"/>
      <x:c r="O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22"/>
      <x:c r="L64" s="22"/>
      <x:c r="M64" s="13"/>
      <x:c r="N64" s="13"/>
      <x:c r="O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22"/>
      <x:c r="L65" s="22"/>
      <x:c r="M65" s="13"/>
      <x:c r="N65" s="13"/>
      <x:c r="O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22"/>
      <x:c r="L66" s="22"/>
      <x:c r="M66" s="13"/>
      <x:c r="N66" s="13"/>
      <x:c r="O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22"/>
      <x:c r="L67" s="22"/>
      <x:c r="M67" s="13"/>
      <x:c r="N67" s="13"/>
      <x:c r="O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22"/>
      <x:c r="L68" s="22"/>
      <x:c r="M68" s="13"/>
      <x:c r="N68" s="13"/>
      <x:c r="O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22"/>
      <x:c r="L69" s="22"/>
      <x:c r="M69" s="13"/>
      <x:c r="N69" s="13"/>
      <x:c r="O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22"/>
      <x:c r="L70" s="22"/>
      <x:c r="M70" s="13"/>
      <x:c r="N70" s="13"/>
      <x:c r="O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22"/>
      <x:c r="L71" s="22"/>
      <x:c r="M71" s="13"/>
      <x:c r="N71" s="13"/>
      <x:c r="O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22"/>
      <x:c r="L72" s="22"/>
      <x:c r="M72" s="13"/>
      <x:c r="N72" s="13"/>
      <x:c r="O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22"/>
      <x:c r="L73" s="22"/>
      <x:c r="M73" s="13"/>
      <x:c r="N73" s="13"/>
      <x:c r="O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22"/>
      <x:c r="L74" s="22"/>
      <x:c r="M74" s="13"/>
      <x:c r="N74" s="13"/>
      <x:c r="O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22"/>
      <x:c r="L75" s="22"/>
      <x:c r="M75" s="13"/>
      <x:c r="N75" s="13"/>
      <x:c r="O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22"/>
      <x:c r="L76" s="22"/>
      <x:c r="M76" s="13"/>
      <x:c r="N76" s="13"/>
      <x:c r="O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22"/>
      <x:c r="L77" s="22"/>
      <x:c r="M77" s="13"/>
      <x:c r="N77" s="13"/>
      <x:c r="O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22"/>
      <x:c r="L78" s="22"/>
      <x:c r="M78" s="13"/>
      <x:c r="N78" s="13"/>
      <x:c r="O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22"/>
      <x:c r="L79" s="22"/>
      <x:c r="M79" s="13"/>
      <x:c r="N79" s="13"/>
      <x:c r="O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22"/>
      <x:c r="L80" s="22"/>
      <x:c r="M80" s="13"/>
      <x:c r="N80" s="13"/>
      <x:c r="O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22"/>
      <x:c r="L81" s="22"/>
      <x:c r="M81" s="13"/>
      <x:c r="N81" s="13"/>
      <x:c r="O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22"/>
      <x:c r="L82" s="22"/>
      <x:c r="M82" s="13"/>
      <x:c r="N82" s="13"/>
      <x:c r="O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22"/>
      <x:c r="L83" s="22"/>
      <x:c r="M83" s="13"/>
      <x:c r="N83" s="13"/>
      <x:c r="O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22"/>
      <x:c r="L84" s="22"/>
      <x:c r="M84" s="13"/>
      <x:c r="N84" s="13"/>
      <x:c r="O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22"/>
      <x:c r="L85" s="22"/>
      <x:c r="M85" s="13"/>
      <x:c r="N85" s="13"/>
      <x:c r="O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22"/>
      <x:c r="L86" s="22"/>
      <x:c r="M86" s="13"/>
      <x:c r="N86" s="13"/>
      <x:c r="O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22"/>
      <x:c r="L87" s="22"/>
      <x:c r="M87" s="13"/>
      <x:c r="N87" s="13"/>
      <x:c r="O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22"/>
      <x:c r="L88" s="22"/>
      <x:c r="M88" s="13"/>
      <x:c r="N88" s="13"/>
      <x:c r="O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22"/>
      <x:c r="L89" s="22"/>
      <x:c r="M89" s="13"/>
      <x:c r="N89" s="13"/>
      <x:c r="O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22"/>
      <x:c r="L90" s="22"/>
      <x:c r="M90" s="13"/>
      <x:c r="N90" s="13"/>
      <x:c r="O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22"/>
      <x:c r="L91" s="22"/>
      <x:c r="M91" s="13"/>
      <x:c r="N91" s="13"/>
      <x:c r="O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22"/>
      <x:c r="L92" s="22"/>
      <x:c r="M92" s="13"/>
      <x:c r="N92" s="13"/>
      <x:c r="O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22"/>
      <x:c r="L93" s="22"/>
      <x:c r="M93" s="13"/>
      <x:c r="N93" s="13"/>
      <x:c r="O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22"/>
      <x:c r="L94" s="22"/>
      <x:c r="M94" s="13"/>
      <x:c r="N94" s="13"/>
      <x:c r="O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22"/>
      <x:c r="L95" s="22"/>
      <x:c r="M95" s="13"/>
      <x:c r="N95" s="13"/>
      <x:c r="O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22"/>
      <x:c r="L96" s="22"/>
      <x:c r="M96" s="13"/>
      <x:c r="N96" s="13"/>
      <x:c r="O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22"/>
      <x:c r="L97" s="22"/>
      <x:c r="M97" s="13"/>
      <x:c r="N97" s="13"/>
      <x:c r="O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22"/>
      <x:c r="L98" s="22"/>
      <x:c r="M98" s="13"/>
      <x:c r="N98" s="13"/>
      <x:c r="O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22"/>
      <x:c r="L99" s="22"/>
      <x:c r="M99" s="13"/>
      <x:c r="N99" s="13"/>
      <x:c r="O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22"/>
      <x:c r="L100" s="22"/>
      <x:c r="M100" s="13"/>
      <x:c r="N100" s="13"/>
      <x:c r="O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22"/>
      <x:c r="L101" s="22"/>
      <x:c r="M101" s="13"/>
      <x:c r="N101" s="13"/>
      <x:c r="O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22"/>
      <x:c r="L102" s="22"/>
      <x:c r="M102" s="13"/>
      <x:c r="N102" s="13"/>
      <x:c r="O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22"/>
      <x:c r="L103" s="22"/>
      <x:c r="M103" s="13"/>
      <x:c r="N103" s="13"/>
      <x:c r="O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22"/>
      <x:c r="L104" s="22"/>
      <x:c r="M104" s="13"/>
      <x:c r="N104" s="13"/>
      <x:c r="O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22"/>
      <x:c r="L105" s="22"/>
      <x:c r="M105" s="13"/>
      <x:c r="N105" s="13"/>
      <x:c r="O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22"/>
      <x:c r="L106" s="22"/>
      <x:c r="M106" s="13"/>
      <x:c r="N106" s="13"/>
      <x:c r="O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22"/>
      <x:c r="L107" s="22"/>
      <x:c r="M107" s="13"/>
      <x:c r="N107" s="13"/>
      <x:c r="O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22"/>
      <x:c r="L108" s="22"/>
      <x:c r="M108" s="13"/>
      <x:c r="N108" s="13"/>
      <x:c r="O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22"/>
      <x:c r="L109" s="22"/>
      <x:c r="M109" s="13"/>
      <x:c r="N109" s="13"/>
      <x:c r="O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22"/>
      <x:c r="L110" s="22"/>
      <x:c r="M110" s="13"/>
      <x:c r="N110" s="13"/>
      <x:c r="O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22"/>
      <x:c r="L111" s="22"/>
      <x:c r="M111" s="13"/>
      <x:c r="N111" s="13"/>
      <x:c r="O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22"/>
      <x:c r="L112" s="22"/>
      <x:c r="M112" s="13"/>
      <x:c r="N112" s="13"/>
      <x:c r="O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22"/>
      <x:c r="L113" s="22"/>
      <x:c r="M113" s="13"/>
      <x:c r="N113" s="13"/>
      <x:c r="O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22"/>
      <x:c r="L114" s="22"/>
      <x:c r="M114" s="13"/>
      <x:c r="N114" s="13"/>
      <x:c r="O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22"/>
      <x:c r="L115" s="22"/>
      <x:c r="M115" s="13"/>
      <x:c r="N115" s="13"/>
      <x:c r="O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22"/>
      <x:c r="L116" s="22"/>
      <x:c r="M116" s="13"/>
      <x:c r="N116" s="13"/>
      <x:c r="O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22"/>
      <x:c r="L117" s="22"/>
      <x:c r="M117" s="13"/>
      <x:c r="N117" s="13"/>
      <x:c r="O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22"/>
      <x:c r="L118" s="22"/>
      <x:c r="M118" s="13"/>
      <x:c r="N118" s="13"/>
      <x:c r="O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22"/>
      <x:c r="L119" s="22"/>
      <x:c r="M119" s="13"/>
      <x:c r="N119" s="13"/>
      <x:c r="O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22"/>
      <x:c r="L120" s="22"/>
      <x:c r="M120" s="13"/>
      <x:c r="N120" s="13"/>
      <x:c r="O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22"/>
      <x:c r="L121" s="22"/>
      <x:c r="M121" s="13"/>
      <x:c r="N121" s="13"/>
      <x:c r="O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22"/>
      <x:c r="L122" s="22"/>
      <x:c r="M122" s="13"/>
      <x:c r="N122" s="13"/>
      <x:c r="O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22"/>
      <x:c r="L123" s="22"/>
      <x:c r="M123" s="13"/>
      <x:c r="N123" s="13"/>
      <x:c r="O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22"/>
      <x:c r="L124" s="22"/>
      <x:c r="M124" s="13"/>
      <x:c r="N124" s="13"/>
      <x:c r="O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22"/>
      <x:c r="L125" s="22"/>
      <x:c r="M125" s="13"/>
      <x:c r="N125" s="13"/>
      <x:c r="O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22"/>
      <x:c r="L126" s="22"/>
      <x:c r="M126" s="13"/>
      <x:c r="N126" s="13"/>
      <x:c r="O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22"/>
      <x:c r="L127" s="22"/>
      <x:c r="M127" s="13"/>
      <x:c r="N127" s="13"/>
      <x:c r="O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22"/>
      <x:c r="L128" s="22"/>
      <x:c r="M128" s="13"/>
      <x:c r="N128" s="13"/>
      <x:c r="O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22"/>
      <x:c r="L129" s="22"/>
      <x:c r="M129" s="13"/>
      <x:c r="N129" s="13"/>
      <x:c r="O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22"/>
      <x:c r="L130" s="22"/>
      <x:c r="M130" s="13"/>
      <x:c r="N130" s="13"/>
      <x:c r="O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22"/>
      <x:c r="L131" s="22"/>
      <x:c r="M131" s="13"/>
      <x:c r="N131" s="13"/>
      <x:c r="O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22"/>
      <x:c r="L132" s="22"/>
      <x:c r="M132" s="13"/>
      <x:c r="N132" s="13"/>
      <x:c r="O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22"/>
      <x:c r="L133" s="22"/>
      <x:c r="M133" s="13"/>
      <x:c r="N133" s="13"/>
      <x:c r="O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22"/>
      <x:c r="L134" s="22"/>
      <x:c r="M134" s="13"/>
      <x:c r="N134" s="13"/>
      <x:c r="O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22"/>
      <x:c r="L135" s="22"/>
      <x:c r="M135" s="13"/>
      <x:c r="N135" s="13"/>
      <x:c r="O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22"/>
      <x:c r="L136" s="22"/>
      <x:c r="M136" s="13"/>
      <x:c r="N136" s="13"/>
      <x:c r="O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22"/>
      <x:c r="L137" s="22"/>
      <x:c r="M137" s="13"/>
      <x:c r="N137" s="13"/>
      <x:c r="O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22"/>
      <x:c r="L138" s="22"/>
      <x:c r="M138" s="13"/>
      <x:c r="N138" s="13"/>
      <x:c r="O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22"/>
      <x:c r="L139" s="22"/>
      <x:c r="M139" s="13"/>
      <x:c r="N139" s="13"/>
      <x:c r="O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22"/>
      <x:c r="L140" s="22"/>
      <x:c r="M140" s="13"/>
      <x:c r="N140" s="13"/>
      <x:c r="O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22"/>
      <x:c r="L141" s="22"/>
      <x:c r="M141" s="13"/>
      <x:c r="N141" s="13"/>
      <x:c r="O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22"/>
      <x:c r="L142" s="22"/>
      <x:c r="M142" s="13"/>
      <x:c r="N142" s="13"/>
      <x:c r="O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22"/>
      <x:c r="L143" s="22"/>
      <x:c r="M143" s="13"/>
      <x:c r="N143" s="13"/>
      <x:c r="O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22"/>
      <x:c r="L144" s="22"/>
      <x:c r="M144" s="13"/>
      <x:c r="N144" s="13"/>
      <x:c r="O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22"/>
      <x:c r="L145" s="22"/>
      <x:c r="M145" s="13"/>
      <x:c r="N145" s="13"/>
      <x:c r="O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22"/>
      <x:c r="L146" s="22"/>
      <x:c r="M146" s="13"/>
      <x:c r="N146" s="13"/>
      <x:c r="O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22"/>
      <x:c r="L147" s="22"/>
      <x:c r="M147" s="13"/>
      <x:c r="N147" s="13"/>
      <x:c r="O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22"/>
      <x:c r="L148" s="22"/>
      <x:c r="M148" s="13"/>
      <x:c r="N148" s="13"/>
      <x:c r="O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22"/>
      <x:c r="L149" s="22"/>
      <x:c r="M149" s="13"/>
      <x:c r="N149" s="13"/>
      <x:c r="O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22"/>
      <x:c r="L150" s="22"/>
      <x:c r="M150" s="13"/>
      <x:c r="N150" s="13"/>
      <x:c r="O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22"/>
      <x:c r="L151" s="22"/>
      <x:c r="M151" s="13"/>
      <x:c r="N151" s="13"/>
      <x:c r="O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22"/>
      <x:c r="L152" s="22"/>
      <x:c r="M152" s="13"/>
      <x:c r="N152" s="13"/>
      <x:c r="O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22"/>
      <x:c r="L153" s="22"/>
      <x:c r="M153" s="13"/>
      <x:c r="N153" s="13"/>
      <x:c r="O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22"/>
      <x:c r="L154" s="22"/>
      <x:c r="M154" s="13"/>
      <x:c r="N154" s="13"/>
      <x:c r="O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22"/>
      <x:c r="L155" s="22"/>
      <x:c r="M155" s="13"/>
      <x:c r="N155" s="13"/>
      <x:c r="O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22"/>
      <x:c r="L156" s="22"/>
      <x:c r="M156" s="13"/>
      <x:c r="N156" s="13"/>
      <x:c r="O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22"/>
      <x:c r="L157" s="22"/>
      <x:c r="M157" s="13"/>
      <x:c r="N157" s="13"/>
      <x:c r="O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22"/>
      <x:c r="L158" s="22"/>
      <x:c r="M158" s="13"/>
      <x:c r="N158" s="13"/>
      <x:c r="O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22"/>
      <x:c r="L159" s="22"/>
      <x:c r="M159" s="13"/>
      <x:c r="N159" s="13"/>
      <x:c r="O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22"/>
      <x:c r="L160" s="22"/>
      <x:c r="M160" s="13"/>
      <x:c r="N160" s="13"/>
      <x:c r="O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22"/>
      <x:c r="L161" s="22"/>
      <x:c r="M161" s="13"/>
      <x:c r="N161" s="13"/>
      <x:c r="O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22"/>
      <x:c r="L162" s="22"/>
      <x:c r="M162" s="13"/>
      <x:c r="N162" s="13"/>
      <x:c r="O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22"/>
      <x:c r="L163" s="22"/>
      <x:c r="M163" s="13"/>
      <x:c r="N163" s="13"/>
      <x:c r="O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22"/>
      <x:c r="L164" s="22"/>
      <x:c r="M164" s="13"/>
      <x:c r="N164" s="13"/>
      <x:c r="O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22"/>
      <x:c r="L165" s="22"/>
      <x:c r="M165" s="13"/>
      <x:c r="N165" s="13"/>
      <x:c r="O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22"/>
      <x:c r="L166" s="22"/>
      <x:c r="M166" s="13"/>
      <x:c r="N166" s="13"/>
      <x:c r="O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22"/>
      <x:c r="L167" s="22"/>
      <x:c r="M167" s="13"/>
      <x:c r="N167" s="13"/>
      <x:c r="O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22"/>
      <x:c r="L168" s="22"/>
      <x:c r="M168" s="13"/>
      <x:c r="N168" s="13"/>
      <x:c r="O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22"/>
      <x:c r="L169" s="22"/>
      <x:c r="M169" s="13"/>
      <x:c r="N169" s="13"/>
      <x:c r="O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22"/>
      <x:c r="L170" s="22"/>
      <x:c r="M170" s="13"/>
      <x:c r="N170" s="13"/>
      <x:c r="O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22"/>
      <x:c r="L171" s="22"/>
      <x:c r="M171" s="13"/>
      <x:c r="N171" s="13"/>
      <x:c r="O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22"/>
      <x:c r="L172" s="22"/>
      <x:c r="M172" s="13"/>
      <x:c r="N172" s="13"/>
      <x:c r="O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22"/>
      <x:c r="L173" s="22"/>
      <x:c r="M173" s="13"/>
      <x:c r="N173" s="13"/>
      <x:c r="O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22"/>
      <x:c r="L174" s="22"/>
      <x:c r="M174" s="13"/>
      <x:c r="N174" s="13"/>
      <x:c r="O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22"/>
      <x:c r="L175" s="22"/>
      <x:c r="M175" s="13"/>
      <x:c r="N175" s="13"/>
      <x:c r="O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22"/>
      <x:c r="L176" s="22"/>
      <x:c r="M176" s="13"/>
      <x:c r="N176" s="13"/>
      <x:c r="O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22"/>
      <x:c r="L177" s="22"/>
      <x:c r="M177" s="13"/>
      <x:c r="N177" s="13"/>
      <x:c r="O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22"/>
      <x:c r="L178" s="22"/>
      <x:c r="M178" s="13"/>
      <x:c r="N178" s="13"/>
      <x:c r="O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22"/>
      <x:c r="L179" s="22"/>
      <x:c r="M179" s="13"/>
      <x:c r="N179" s="13"/>
      <x:c r="O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22"/>
      <x:c r="L180" s="22"/>
      <x:c r="M180" s="13"/>
      <x:c r="N180" s="13"/>
      <x:c r="O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22"/>
      <x:c r="L181" s="22"/>
      <x:c r="M181" s="13"/>
      <x:c r="N181" s="13"/>
      <x:c r="O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22"/>
      <x:c r="L182" s="22"/>
      <x:c r="M182" s="13"/>
      <x:c r="N182" s="13"/>
      <x:c r="O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22"/>
      <x:c r="L183" s="22"/>
      <x:c r="M183" s="13"/>
      <x:c r="N183" s="13"/>
      <x:c r="O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22"/>
      <x:c r="L184" s="22"/>
      <x:c r="M184" s="13"/>
      <x:c r="N184" s="13"/>
      <x:c r="O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22"/>
      <x:c r="L185" s="22"/>
      <x:c r="M185" s="13"/>
      <x:c r="N185" s="13"/>
      <x:c r="O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22"/>
      <x:c r="L186" s="22"/>
      <x:c r="M186" s="13"/>
      <x:c r="N186" s="13"/>
      <x:c r="O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22"/>
      <x:c r="L187" s="22"/>
      <x:c r="M187" s="13"/>
      <x:c r="N187" s="13"/>
      <x:c r="O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22"/>
      <x:c r="L188" s="22"/>
      <x:c r="M188" s="13"/>
      <x:c r="N188" s="13"/>
      <x:c r="O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22"/>
      <x:c r="L189" s="22"/>
      <x:c r="M189" s="13"/>
      <x:c r="N189" s="13"/>
      <x:c r="O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22"/>
      <x:c r="L190" s="22"/>
      <x:c r="M190" s="13"/>
      <x:c r="N190" s="13"/>
      <x:c r="O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22"/>
      <x:c r="L191" s="22"/>
      <x:c r="M191" s="13"/>
      <x:c r="N191" s="13"/>
      <x:c r="O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22"/>
      <x:c r="L192" s="22"/>
      <x:c r="M192" s="13"/>
      <x:c r="N192" s="13"/>
      <x:c r="O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22"/>
      <x:c r="L193" s="22"/>
      <x:c r="M193" s="13"/>
      <x:c r="N193" s="13"/>
      <x:c r="O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22"/>
      <x:c r="L194" s="22"/>
      <x:c r="M194" s="13"/>
      <x:c r="N194" s="13"/>
      <x:c r="O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22"/>
      <x:c r="L195" s="22"/>
      <x:c r="M195" s="13"/>
      <x:c r="N195" s="13"/>
      <x:c r="O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22"/>
      <x:c r="L196" s="22"/>
      <x:c r="M196" s="13"/>
      <x:c r="N196" s="13"/>
      <x:c r="O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22"/>
      <x:c r="L197" s="22"/>
      <x:c r="M197" s="13"/>
      <x:c r="N197" s="13"/>
      <x:c r="O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22"/>
      <x:c r="L198" s="22"/>
      <x:c r="M198" s="13"/>
      <x:c r="N198" s="13"/>
      <x:c r="O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22"/>
      <x:c r="L199" s="22"/>
      <x:c r="M199" s="13"/>
      <x:c r="N199" s="13"/>
      <x:c r="O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22"/>
      <x:c r="L200" s="22"/>
      <x:c r="M200" s="13"/>
      <x:c r="N200" s="13"/>
      <x:c r="O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22"/>
      <x:c r="L201" s="22"/>
      <x:c r="M201" s="13"/>
      <x:c r="N201" s="13"/>
      <x:c r="O201" s="13"/>
    </x:row>
  </x:sheetData>
  <x:dataValidations count="2">
    <x:dataValidation type="list" sqref="F2:F201">
      <x:formula1>"Доставка продавцом,Самовывоз,Курьер,Такси,Газель,Jet Logistic,ТК/попутный груз"</x:formula1>
    </x:dataValidation>
    <x:dataValidation type="list" sqref="N2:N201">
      <x:formula1>"Низкий,Средний,Высокий,Критический"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d19ca147cf442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2" hidden="0" customWidth="1"/>
    <x:col min="4" max="4" width="20" hidden="0" customWidth="1"/>
    <x:col min="5" max="5" width="22" hidden="0" customWidth="1"/>
    <x:col min="6" max="6" width="14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4" hidden="0" customWidth="1"/>
    <x:col min="18" max="18" width="18" hidden="0" customWidth="1"/>
    <x:col min="19" max="19" width="18" hidden="0" customWidth="1"/>
    <x:col min="20" max="20" width="28" hidden="0" customWidth="1"/>
  </x:cols>
  <x:sheetData>
    <x:row r="1">
      <x:c r="A1" s="18" t="str">
        <x:v>Позиция</x:v>
      </x:c>
      <x:c r="B1" s="18" t="str">
        <x:v>Товар по ТЗ</x:v>
      </x:c>
      <x:c r="C1" s="18" t="str">
        <x:v>Найденный товар</x:v>
      </x:c>
      <x:c r="D1" s="18" t="str">
        <x:v>Статус</x:v>
      </x:c>
      <x:c r="E1" s="18" t="str">
        <x:v>Поставщик</x:v>
      </x:c>
      <x:c r="F1" s="18" t="str">
        <x:v>Город</x:v>
      </x:c>
      <x:c r="G1" s="18" t="str">
        <x:v>Ссылка</x:v>
      </x:c>
      <x:c r="H1" s="18" t="str">
        <x:v>Цена ед.</x:v>
      </x:c>
      <x:c r="I1" s="18" t="str">
        <x:v>Кол-во</x:v>
      </x:c>
      <x:c r="J1" s="18" t="str">
        <x:v>Сумма закупки</x:v>
      </x:c>
      <x:c r="K1" s="18" t="str">
        <x:v>Доставка</x:v>
      </x:c>
      <x:c r="L1" s="18" t="str">
        <x:v>Прочие расходы</x:v>
      </x:c>
      <x:c r="M1" s="18" t="str">
        <x:v>Себестоимость</x:v>
      </x:c>
      <x:c r="N1" s="18" t="str">
        <x:v>Сумма по ТЗ</x:v>
      </x:c>
      <x:c r="O1" s="18" t="str">
        <x:v>Прибыль</x:v>
      </x:c>
      <x:c r="P1" s="18" t="str">
        <x:v>Маржа %</x:v>
      </x:c>
      <x:c r="Q1" s="18" t="str">
        <x:v>Риск</x:v>
      </x:c>
      <x:c r="R1" s="18" t="str">
        <x:v>5 пунктов подтверждены?</x:v>
      </x:c>
      <x:c r="S1" s="18" t="str">
        <x:v>Готовность</x:v>
      </x:c>
      <x:c r="T1" s="18" t="str">
        <x:v>Следующий шаг</x:v>
      </x:c>
    </x:row>
    <x:row r="2">
      <x:c r="A2" s="13"/>
      <x:c r="B2" s="13"/>
      <x:c r="C2" s="13"/>
      <x:c r="D2" s="13"/>
      <x:c r="E2" s="13"/>
      <x:c r="F2" s="13"/>
      <x:c r="G2" s="13"/>
      <x:c r="H2" s="22"/>
      <x:c r="I2" s="22"/>
      <x:c r="J2" s="22" t="str">
        <x:f>IF(OR(H2="",I2=""),"",H2*I2)</x:f>
      </x:c>
      <x:c r="K2" s="22"/>
      <x:c r="L2" s="22"/>
      <x:c r="M2" s="22" t="str">
        <x:f>IF(J2="","",J2+IF(K2="",0,K2)+IF(L2="",0,L2))</x:f>
      </x:c>
      <x:c r="N2" s="22"/>
      <x:c r="O2" s="22" t="str">
        <x:f>IF(OR(N2="",M2=""),"",N2-M2)</x:f>
      </x:c>
      <x:c r="P2" s="24" t="str">
        <x:f>IFERROR(O2/N2,"")</x:f>
      </x:c>
      <x:c r="Q2" s="13"/>
      <x:c r="R2" s="13"/>
      <x:c r="S2" s="13" t="str">
        <x:f>IF(AND(D2="Можно заказывать",R2="Да",O2&gt;0),"GO","STOP")</x:f>
        <x:v>STOP</x:v>
      </x:c>
      <x:c r="T2" s="13"/>
    </x:row>
    <x:row r="3">
      <x:c r="A3" s="13"/>
      <x:c r="B3" s="13"/>
      <x:c r="C3" s="13"/>
      <x:c r="D3" s="13"/>
      <x:c r="E3" s="13"/>
      <x:c r="F3" s="13"/>
      <x:c r="G3" s="13"/>
      <x:c r="H3" s="22"/>
      <x:c r="I3" s="22"/>
      <x:c r="J3" s="22" t="str">
        <x:f>IF(OR(H3="",I3=""),"",H3*I3)</x:f>
      </x:c>
      <x:c r="K3" s="22"/>
      <x:c r="L3" s="22"/>
      <x:c r="M3" s="22" t="str">
        <x:f>IF(J3="","",J3+IF(K3="",0,K3)+IF(L3="",0,L3))</x:f>
      </x:c>
      <x:c r="N3" s="22"/>
      <x:c r="O3" s="22" t="str">
        <x:f>IF(OR(N3="",M3=""),"",N3-M3)</x:f>
      </x:c>
      <x:c r="P3" s="24" t="str">
        <x:f>IFERROR(O3/N3,"")</x:f>
      </x:c>
      <x:c r="Q3" s="13"/>
      <x:c r="R3" s="13"/>
      <x:c r="S3" s="13" t="str">
        <x:f>IF(AND(D3="Можно заказывать",R3="Да",O3&gt;0),"GO","STOP")</x:f>
        <x:v>STOP</x:v>
      </x:c>
      <x:c r="T3" s="13"/>
    </x:row>
    <x:row r="4">
      <x:c r="A4" s="13"/>
      <x:c r="B4" s="13"/>
      <x:c r="C4" s="13"/>
      <x:c r="D4" s="13"/>
      <x:c r="E4" s="13"/>
      <x:c r="F4" s="13"/>
      <x:c r="G4" s="13"/>
      <x:c r="H4" s="22"/>
      <x:c r="I4" s="22"/>
      <x:c r="J4" s="22" t="str">
        <x:f>IF(OR(H4="",I4=""),"",H4*I4)</x:f>
      </x:c>
      <x:c r="K4" s="22"/>
      <x:c r="L4" s="22"/>
      <x:c r="M4" s="22" t="str">
        <x:f>IF(J4="","",J4+IF(K4="",0,K4)+IF(L4="",0,L4))</x:f>
      </x:c>
      <x:c r="N4" s="22"/>
      <x:c r="O4" s="22" t="str">
        <x:f>IF(OR(N4="",M4=""),"",N4-M4)</x:f>
      </x:c>
      <x:c r="P4" s="24" t="str">
        <x:f>IFERROR(O4/N4,"")</x:f>
      </x:c>
      <x:c r="Q4" s="13"/>
      <x:c r="R4" s="13"/>
      <x:c r="S4" s="13" t="str">
        <x:f>IF(AND(D4="Можно заказывать",R4="Да",O4&gt;0),"GO","STOP")</x:f>
        <x:v>STOP</x:v>
      </x:c>
      <x:c r="T4" s="13"/>
    </x:row>
    <x:row r="5">
      <x:c r="A5" s="13"/>
      <x:c r="B5" s="13"/>
      <x:c r="C5" s="13"/>
      <x:c r="D5" s="13"/>
      <x:c r="E5" s="13"/>
      <x:c r="F5" s="13"/>
      <x:c r="G5" s="13"/>
      <x:c r="H5" s="22"/>
      <x:c r="I5" s="22"/>
      <x:c r="J5" s="22" t="str">
        <x:f>IF(OR(H5="",I5=""),"",H5*I5)</x:f>
      </x:c>
      <x:c r="K5" s="22"/>
      <x:c r="L5" s="22"/>
      <x:c r="M5" s="22" t="str">
        <x:f>IF(J5="","",J5+IF(K5="",0,K5)+IF(L5="",0,L5))</x:f>
      </x:c>
      <x:c r="N5" s="22"/>
      <x:c r="O5" s="22" t="str">
        <x:f>IF(OR(N5="",M5=""),"",N5-M5)</x:f>
      </x:c>
      <x:c r="P5" s="24" t="str">
        <x:f>IFERROR(O5/N5,"")</x:f>
      </x:c>
      <x:c r="Q5" s="13"/>
      <x:c r="R5" s="13"/>
      <x:c r="S5" s="13" t="str">
        <x:f>IF(AND(D5="Можно заказывать",R5="Да",O5&gt;0),"GO","STOP")</x:f>
        <x:v>STOP</x:v>
      </x:c>
      <x:c r="T5" s="13"/>
    </x:row>
    <x:row r="6">
      <x:c r="A6" s="13"/>
      <x:c r="B6" s="13"/>
      <x:c r="C6" s="13"/>
      <x:c r="D6" s="13"/>
      <x:c r="E6" s="13"/>
      <x:c r="F6" s="13"/>
      <x:c r="G6" s="13"/>
      <x:c r="H6" s="22"/>
      <x:c r="I6" s="22"/>
      <x:c r="J6" s="22" t="str">
        <x:f>IF(OR(H6="",I6=""),"",H6*I6)</x:f>
      </x:c>
      <x:c r="K6" s="22"/>
      <x:c r="L6" s="22"/>
      <x:c r="M6" s="22" t="str">
        <x:f>IF(J6="","",J6+IF(K6="",0,K6)+IF(L6="",0,L6))</x:f>
      </x:c>
      <x:c r="N6" s="22"/>
      <x:c r="O6" s="22" t="str">
        <x:f>IF(OR(N6="",M6=""),"",N6-M6)</x:f>
      </x:c>
      <x:c r="P6" s="24" t="str">
        <x:f>IFERROR(O6/N6,"")</x:f>
      </x:c>
      <x:c r="Q6" s="13"/>
      <x:c r="R6" s="13"/>
      <x:c r="S6" s="13" t="str">
        <x:f>IF(AND(D6="Можно заказывать",R6="Да",O6&gt;0),"GO","STOP")</x:f>
        <x:v>STOP</x:v>
      </x:c>
      <x:c r="T6" s="13"/>
    </x:row>
    <x:row r="7">
      <x:c r="A7" s="13"/>
      <x:c r="B7" s="13"/>
      <x:c r="C7" s="13"/>
      <x:c r="D7" s="13"/>
      <x:c r="E7" s="13"/>
      <x:c r="F7" s="13"/>
      <x:c r="G7" s="13"/>
      <x:c r="H7" s="22"/>
      <x:c r="I7" s="22"/>
      <x:c r="J7" s="22" t="str">
        <x:f>IF(OR(H7="",I7=""),"",H7*I7)</x:f>
      </x:c>
      <x:c r="K7" s="22"/>
      <x:c r="L7" s="22"/>
      <x:c r="M7" s="22" t="str">
        <x:f>IF(J7="","",J7+IF(K7="",0,K7)+IF(L7="",0,L7))</x:f>
      </x:c>
      <x:c r="N7" s="22"/>
      <x:c r="O7" s="22" t="str">
        <x:f>IF(OR(N7="",M7=""),"",N7-M7)</x:f>
      </x:c>
      <x:c r="P7" s="24" t="str">
        <x:f>IFERROR(O7/N7,"")</x:f>
      </x:c>
      <x:c r="Q7" s="13"/>
      <x:c r="R7" s="13"/>
      <x:c r="S7" s="13" t="str">
        <x:f>IF(AND(D7="Можно заказывать",R7="Да",O7&gt;0),"GO","STOP")</x:f>
        <x:v>STOP</x:v>
      </x:c>
      <x:c r="T7" s="13"/>
    </x:row>
    <x:row r="8">
      <x:c r="A8" s="13"/>
      <x:c r="B8" s="13"/>
      <x:c r="C8" s="13"/>
      <x:c r="D8" s="13"/>
      <x:c r="E8" s="13"/>
      <x:c r="F8" s="13"/>
      <x:c r="G8" s="13"/>
      <x:c r="H8" s="22"/>
      <x:c r="I8" s="22"/>
      <x:c r="J8" s="22" t="str">
        <x:f>IF(OR(H8="",I8=""),"",H8*I8)</x:f>
      </x:c>
      <x:c r="K8" s="22"/>
      <x:c r="L8" s="22"/>
      <x:c r="M8" s="22" t="str">
        <x:f>IF(J8="","",J8+IF(K8="",0,K8)+IF(L8="",0,L8))</x:f>
      </x:c>
      <x:c r="N8" s="22"/>
      <x:c r="O8" s="22" t="str">
        <x:f>IF(OR(N8="",M8=""),"",N8-M8)</x:f>
      </x:c>
      <x:c r="P8" s="24" t="str">
        <x:f>IFERROR(O8/N8,"")</x:f>
      </x:c>
      <x:c r="Q8" s="13"/>
      <x:c r="R8" s="13"/>
      <x:c r="S8" s="13" t="str">
        <x:f>IF(AND(D8="Можно заказывать",R8="Да",O8&gt;0),"GO","STOP")</x:f>
        <x:v>STOP</x:v>
      </x:c>
      <x:c r="T8" s="13"/>
    </x:row>
    <x:row r="9">
      <x:c r="A9" s="13"/>
      <x:c r="B9" s="13"/>
      <x:c r="C9" s="13"/>
      <x:c r="D9" s="13"/>
      <x:c r="E9" s="13"/>
      <x:c r="F9" s="13"/>
      <x:c r="G9" s="13"/>
      <x:c r="H9" s="22"/>
      <x:c r="I9" s="22"/>
      <x:c r="J9" s="22" t="str">
        <x:f>IF(OR(H9="",I9=""),"",H9*I9)</x:f>
      </x:c>
      <x:c r="K9" s="22"/>
      <x:c r="L9" s="22"/>
      <x:c r="M9" s="22" t="str">
        <x:f>IF(J9="","",J9+IF(K9="",0,K9)+IF(L9="",0,L9))</x:f>
      </x:c>
      <x:c r="N9" s="22"/>
      <x:c r="O9" s="22" t="str">
        <x:f>IF(OR(N9="",M9=""),"",N9-M9)</x:f>
      </x:c>
      <x:c r="P9" s="24" t="str">
        <x:f>IFERROR(O9/N9,"")</x:f>
      </x:c>
      <x:c r="Q9" s="13"/>
      <x:c r="R9" s="13"/>
      <x:c r="S9" s="13" t="str">
        <x:f>IF(AND(D9="Можно заказывать",R9="Да",O9&gt;0),"GO","STOP")</x:f>
        <x:v>STOP</x:v>
      </x:c>
      <x:c r="T9" s="13"/>
    </x:row>
    <x:row r="10">
      <x:c r="A10" s="13"/>
      <x:c r="B10" s="13"/>
      <x:c r="C10" s="13"/>
      <x:c r="D10" s="13"/>
      <x:c r="E10" s="13"/>
      <x:c r="F10" s="13"/>
      <x:c r="G10" s="13"/>
      <x:c r="H10" s="22"/>
      <x:c r="I10" s="22"/>
      <x:c r="J10" s="22" t="str">
        <x:f>IF(OR(H10="",I10=""),"",H10*I10)</x:f>
      </x:c>
      <x:c r="K10" s="22"/>
      <x:c r="L10" s="22"/>
      <x:c r="M10" s="22" t="str">
        <x:f>IF(J10="","",J10+IF(K10="",0,K10)+IF(L10="",0,L10))</x:f>
      </x:c>
      <x:c r="N10" s="22"/>
      <x:c r="O10" s="22" t="str">
        <x:f>IF(OR(N10="",M10=""),"",N10-M10)</x:f>
      </x:c>
      <x:c r="P10" s="24" t="str">
        <x:f>IFERROR(O10/N10,"")</x:f>
      </x:c>
      <x:c r="Q10" s="13"/>
      <x:c r="R10" s="13"/>
      <x:c r="S10" s="13" t="str">
        <x:f>IF(AND(D10="Можно заказывать",R10="Да",O10&gt;0),"GO","STOP")</x:f>
        <x:v>STOP</x:v>
      </x:c>
      <x:c r="T10" s="13"/>
    </x:row>
    <x:row r="11">
      <x:c r="A11" s="13"/>
      <x:c r="B11" s="13"/>
      <x:c r="C11" s="13"/>
      <x:c r="D11" s="13"/>
      <x:c r="E11" s="13"/>
      <x:c r="F11" s="13"/>
      <x:c r="G11" s="13"/>
      <x:c r="H11" s="22"/>
      <x:c r="I11" s="22"/>
      <x:c r="J11" s="22" t="str">
        <x:f>IF(OR(H11="",I11=""),"",H11*I11)</x:f>
      </x:c>
      <x:c r="K11" s="22"/>
      <x:c r="L11" s="22"/>
      <x:c r="M11" s="22" t="str">
        <x:f>IF(J11="","",J11+IF(K11="",0,K11)+IF(L11="",0,L11))</x:f>
      </x:c>
      <x:c r="N11" s="22"/>
      <x:c r="O11" s="22" t="str">
        <x:f>IF(OR(N11="",M11=""),"",N11-M11)</x:f>
      </x:c>
      <x:c r="P11" s="24" t="str">
        <x:f>IFERROR(O11/N11,"")</x:f>
      </x:c>
      <x:c r="Q11" s="13"/>
      <x:c r="R11" s="13"/>
      <x:c r="S11" s="13" t="str">
        <x:f>IF(AND(D11="Можно заказывать",R11="Да",O11&gt;0),"GO","STOP")</x:f>
        <x:v>STOP</x:v>
      </x:c>
      <x:c r="T11" s="13"/>
    </x:row>
    <x:row r="12">
      <x:c r="A12" s="13"/>
      <x:c r="B12" s="13"/>
      <x:c r="C12" s="13"/>
      <x:c r="D12" s="13"/>
      <x:c r="E12" s="13"/>
      <x:c r="F12" s="13"/>
      <x:c r="G12" s="13"/>
      <x:c r="H12" s="22"/>
      <x:c r="I12" s="22"/>
      <x:c r="J12" s="22" t="str">
        <x:f>IF(OR(H12="",I12=""),"",H12*I12)</x:f>
      </x:c>
      <x:c r="K12" s="22"/>
      <x:c r="L12" s="22"/>
      <x:c r="M12" s="22" t="str">
        <x:f>IF(J12="","",J12+IF(K12="",0,K12)+IF(L12="",0,L12))</x:f>
      </x:c>
      <x:c r="N12" s="22"/>
      <x:c r="O12" s="22" t="str">
        <x:f>IF(OR(N12="",M12=""),"",N12-M12)</x:f>
      </x:c>
      <x:c r="P12" s="24" t="str">
        <x:f>IFERROR(O12/N12,"")</x:f>
      </x:c>
      <x:c r="Q12" s="13"/>
      <x:c r="R12" s="13"/>
      <x:c r="S12" s="13" t="str">
        <x:f>IF(AND(D12="Можно заказывать",R12="Да",O12&gt;0),"GO","STOP")</x:f>
        <x:v>STOP</x:v>
      </x:c>
      <x:c r="T12" s="13"/>
    </x:row>
    <x:row r="13">
      <x:c r="A13" s="13"/>
      <x:c r="B13" s="13"/>
      <x:c r="C13" s="13"/>
      <x:c r="D13" s="13"/>
      <x:c r="E13" s="13"/>
      <x:c r="F13" s="13"/>
      <x:c r="G13" s="13"/>
      <x:c r="H13" s="22"/>
      <x:c r="I13" s="22"/>
      <x:c r="J13" s="22" t="str">
        <x:f>IF(OR(H13="",I13=""),"",H13*I13)</x:f>
      </x:c>
      <x:c r="K13" s="22"/>
      <x:c r="L13" s="22"/>
      <x:c r="M13" s="22" t="str">
        <x:f>IF(J13="","",J13+IF(K13="",0,K13)+IF(L13="",0,L13))</x:f>
      </x:c>
      <x:c r="N13" s="22"/>
      <x:c r="O13" s="22" t="str">
        <x:f>IF(OR(N13="",M13=""),"",N13-M13)</x:f>
      </x:c>
      <x:c r="P13" s="24" t="str">
        <x:f>IFERROR(O13/N13,"")</x:f>
      </x:c>
      <x:c r="Q13" s="13"/>
      <x:c r="R13" s="13"/>
      <x:c r="S13" s="13" t="str">
        <x:f>IF(AND(D13="Можно заказывать",R13="Да",O13&gt;0),"GO","STOP")</x:f>
        <x:v>STOP</x:v>
      </x:c>
      <x:c r="T13" s="13"/>
    </x:row>
    <x:row r="14">
      <x:c r="A14" s="13"/>
      <x:c r="B14" s="13"/>
      <x:c r="C14" s="13"/>
      <x:c r="D14" s="13"/>
      <x:c r="E14" s="13"/>
      <x:c r="F14" s="13"/>
      <x:c r="G14" s="13"/>
      <x:c r="H14" s="22"/>
      <x:c r="I14" s="22"/>
      <x:c r="J14" s="22" t="str">
        <x:f>IF(OR(H14="",I14=""),"",H14*I14)</x:f>
      </x:c>
      <x:c r="K14" s="22"/>
      <x:c r="L14" s="22"/>
      <x:c r="M14" s="22" t="str">
        <x:f>IF(J14="","",J14+IF(K14="",0,K14)+IF(L14="",0,L14))</x:f>
      </x:c>
      <x:c r="N14" s="22"/>
      <x:c r="O14" s="22" t="str">
        <x:f>IF(OR(N14="",M14=""),"",N14-M14)</x:f>
      </x:c>
      <x:c r="P14" s="24" t="str">
        <x:f>IFERROR(O14/N14,"")</x:f>
      </x:c>
      <x:c r="Q14" s="13"/>
      <x:c r="R14" s="13"/>
      <x:c r="S14" s="13" t="str">
        <x:f>IF(AND(D14="Можно заказывать",R14="Да",O14&gt;0),"GO","STOP")</x:f>
        <x:v>STOP</x:v>
      </x:c>
      <x:c r="T14" s="13"/>
    </x:row>
    <x:row r="15">
      <x:c r="A15" s="13"/>
      <x:c r="B15" s="13"/>
      <x:c r="C15" s="13"/>
      <x:c r="D15" s="13"/>
      <x:c r="E15" s="13"/>
      <x:c r="F15" s="13"/>
      <x:c r="G15" s="13"/>
      <x:c r="H15" s="22"/>
      <x:c r="I15" s="22"/>
      <x:c r="J15" s="22" t="str">
        <x:f>IF(OR(H15="",I15=""),"",H15*I15)</x:f>
      </x:c>
      <x:c r="K15" s="22"/>
      <x:c r="L15" s="22"/>
      <x:c r="M15" s="22" t="str">
        <x:f>IF(J15="","",J15+IF(K15="",0,K15)+IF(L15="",0,L15))</x:f>
      </x:c>
      <x:c r="N15" s="22"/>
      <x:c r="O15" s="22" t="str">
        <x:f>IF(OR(N15="",M15=""),"",N15-M15)</x:f>
      </x:c>
      <x:c r="P15" s="24" t="str">
        <x:f>IFERROR(O15/N15,"")</x:f>
      </x:c>
      <x:c r="Q15" s="13"/>
      <x:c r="R15" s="13"/>
      <x:c r="S15" s="13" t="str">
        <x:f>IF(AND(D15="Можно заказывать",R15="Да",O15&gt;0),"GO","STOP")</x:f>
        <x:v>STOP</x:v>
      </x:c>
      <x:c r="T15" s="13"/>
    </x:row>
    <x:row r="16">
      <x:c r="A16" s="13"/>
      <x:c r="B16" s="13"/>
      <x:c r="C16" s="13"/>
      <x:c r="D16" s="13"/>
      <x:c r="E16" s="13"/>
      <x:c r="F16" s="13"/>
      <x:c r="G16" s="13"/>
      <x:c r="H16" s="22"/>
      <x:c r="I16" s="22"/>
      <x:c r="J16" s="22" t="str">
        <x:f>IF(OR(H16="",I16=""),"",H16*I16)</x:f>
      </x:c>
      <x:c r="K16" s="22"/>
      <x:c r="L16" s="22"/>
      <x:c r="M16" s="22" t="str">
        <x:f>IF(J16="","",J16+IF(K16="",0,K16)+IF(L16="",0,L16))</x:f>
      </x:c>
      <x:c r="N16" s="22"/>
      <x:c r="O16" s="22" t="str">
        <x:f>IF(OR(N16="",M16=""),"",N16-M16)</x:f>
      </x:c>
      <x:c r="P16" s="24" t="str">
        <x:f>IFERROR(O16/N16,"")</x:f>
      </x:c>
      <x:c r="Q16" s="13"/>
      <x:c r="R16" s="13"/>
      <x:c r="S16" s="13" t="str">
        <x:f>IF(AND(D16="Можно заказывать",R16="Да",O16&gt;0),"GO","STOP")</x:f>
        <x:v>STOP</x:v>
      </x:c>
      <x:c r="T16" s="13"/>
    </x:row>
    <x:row r="17">
      <x:c r="A17" s="13"/>
      <x:c r="B17" s="13"/>
      <x:c r="C17" s="13"/>
      <x:c r="D17" s="13"/>
      <x:c r="E17" s="13"/>
      <x:c r="F17" s="13"/>
      <x:c r="G17" s="13"/>
      <x:c r="H17" s="22"/>
      <x:c r="I17" s="22"/>
      <x:c r="J17" s="22" t="str">
        <x:f>IF(OR(H17="",I17=""),"",H17*I17)</x:f>
      </x:c>
      <x:c r="K17" s="22"/>
      <x:c r="L17" s="22"/>
      <x:c r="M17" s="22" t="str">
        <x:f>IF(J17="","",J17+IF(K17="",0,K17)+IF(L17="",0,L17))</x:f>
      </x:c>
      <x:c r="N17" s="22"/>
      <x:c r="O17" s="22" t="str">
        <x:f>IF(OR(N17="",M17=""),"",N17-M17)</x:f>
      </x:c>
      <x:c r="P17" s="24" t="str">
        <x:f>IFERROR(O17/N17,"")</x:f>
      </x:c>
      <x:c r="Q17" s="13"/>
      <x:c r="R17" s="13"/>
      <x:c r="S17" s="13" t="str">
        <x:f>IF(AND(D17="Можно заказывать",R17="Да",O17&gt;0),"GO","STOP")</x:f>
        <x:v>STOP</x:v>
      </x:c>
      <x:c r="T17" s="13"/>
    </x:row>
    <x:row r="18">
      <x:c r="A18" s="13"/>
      <x:c r="B18" s="13"/>
      <x:c r="C18" s="13"/>
      <x:c r="D18" s="13"/>
      <x:c r="E18" s="13"/>
      <x:c r="F18" s="13"/>
      <x:c r="G18" s="13"/>
      <x:c r="H18" s="22"/>
      <x:c r="I18" s="22"/>
      <x:c r="J18" s="22" t="str">
        <x:f>IF(OR(H18="",I18=""),"",H18*I18)</x:f>
      </x:c>
      <x:c r="K18" s="22"/>
      <x:c r="L18" s="22"/>
      <x:c r="M18" s="22" t="str">
        <x:f>IF(J18="","",J18+IF(K18="",0,K18)+IF(L18="",0,L18))</x:f>
      </x:c>
      <x:c r="N18" s="22"/>
      <x:c r="O18" s="22" t="str">
        <x:f>IF(OR(N18="",M18=""),"",N18-M18)</x:f>
      </x:c>
      <x:c r="P18" s="24" t="str">
        <x:f>IFERROR(O18/N18,"")</x:f>
      </x:c>
      <x:c r="Q18" s="13"/>
      <x:c r="R18" s="13"/>
      <x:c r="S18" s="13" t="str">
        <x:f>IF(AND(D18="Можно заказывать",R18="Да",O18&gt;0),"GO","STOP")</x:f>
        <x:v>STOP</x:v>
      </x:c>
      <x:c r="T18" s="13"/>
    </x:row>
    <x:row r="19">
      <x:c r="A19" s="13"/>
      <x:c r="B19" s="13"/>
      <x:c r="C19" s="13"/>
      <x:c r="D19" s="13"/>
      <x:c r="E19" s="13"/>
      <x:c r="F19" s="13"/>
      <x:c r="G19" s="13"/>
      <x:c r="H19" s="22"/>
      <x:c r="I19" s="22"/>
      <x:c r="J19" s="22" t="str">
        <x:f>IF(OR(H19="",I19=""),"",H19*I19)</x:f>
      </x:c>
      <x:c r="K19" s="22"/>
      <x:c r="L19" s="22"/>
      <x:c r="M19" s="22" t="str">
        <x:f>IF(J19="","",J19+IF(K19="",0,K19)+IF(L19="",0,L19))</x:f>
      </x:c>
      <x:c r="N19" s="22"/>
      <x:c r="O19" s="22" t="str">
        <x:f>IF(OR(N19="",M19=""),"",N19-M19)</x:f>
      </x:c>
      <x:c r="P19" s="24" t="str">
        <x:f>IFERROR(O19/N19,"")</x:f>
      </x:c>
      <x:c r="Q19" s="13"/>
      <x:c r="R19" s="13"/>
      <x:c r="S19" s="13" t="str">
        <x:f>IF(AND(D19="Можно заказывать",R19="Да",O19&gt;0),"GO","STOP")</x:f>
        <x:v>STOP</x:v>
      </x:c>
      <x:c r="T19" s="13"/>
    </x:row>
    <x:row r="20">
      <x:c r="A20" s="13"/>
      <x:c r="B20" s="13"/>
      <x:c r="C20" s="13"/>
      <x:c r="D20" s="13"/>
      <x:c r="E20" s="13"/>
      <x:c r="F20" s="13"/>
      <x:c r="G20" s="13"/>
      <x:c r="H20" s="22"/>
      <x:c r="I20" s="22"/>
      <x:c r="J20" s="22" t="str">
        <x:f>IF(OR(H20="",I20=""),"",H20*I20)</x:f>
      </x:c>
      <x:c r="K20" s="22"/>
      <x:c r="L20" s="22"/>
      <x:c r="M20" s="22" t="str">
        <x:f>IF(J20="","",J20+IF(K20="",0,K20)+IF(L20="",0,L20))</x:f>
      </x:c>
      <x:c r="N20" s="22"/>
      <x:c r="O20" s="22" t="str">
        <x:f>IF(OR(N20="",M20=""),"",N20-M20)</x:f>
      </x:c>
      <x:c r="P20" s="24" t="str">
        <x:f>IFERROR(O20/N20,"")</x:f>
      </x:c>
      <x:c r="Q20" s="13"/>
      <x:c r="R20" s="13"/>
      <x:c r="S20" s="13" t="str">
        <x:f>IF(AND(D20="Можно заказывать",R20="Да",O20&gt;0),"GO","STOP")</x:f>
        <x:v>STOP</x:v>
      </x:c>
      <x:c r="T20" s="13"/>
    </x:row>
    <x:row r="21">
      <x:c r="A21" s="13"/>
      <x:c r="B21" s="13"/>
      <x:c r="C21" s="13"/>
      <x:c r="D21" s="13"/>
      <x:c r="E21" s="13"/>
      <x:c r="F21" s="13"/>
      <x:c r="G21" s="13"/>
      <x:c r="H21" s="22"/>
      <x:c r="I21" s="22"/>
      <x:c r="J21" s="22" t="str">
        <x:f>IF(OR(H21="",I21=""),"",H21*I21)</x:f>
      </x:c>
      <x:c r="K21" s="22"/>
      <x:c r="L21" s="22"/>
      <x:c r="M21" s="22" t="str">
        <x:f>IF(J21="","",J21+IF(K21="",0,K21)+IF(L21="",0,L21))</x:f>
      </x:c>
      <x:c r="N21" s="22"/>
      <x:c r="O21" s="22" t="str">
        <x:f>IF(OR(N21="",M21=""),"",N21-M21)</x:f>
      </x:c>
      <x:c r="P21" s="24" t="str">
        <x:f>IFERROR(O21/N21,"")</x:f>
      </x:c>
      <x:c r="Q21" s="13"/>
      <x:c r="R21" s="13"/>
      <x:c r="S21" s="13" t="str">
        <x:f>IF(AND(D21="Можно заказывать",R21="Да",O21&gt;0),"GO","STOP")</x:f>
        <x:v>STOP</x:v>
      </x:c>
      <x:c r="T21" s="13"/>
    </x:row>
    <x:row r="22">
      <x:c r="A22" s="13"/>
      <x:c r="B22" s="13"/>
      <x:c r="C22" s="13"/>
      <x:c r="D22" s="13"/>
      <x:c r="E22" s="13"/>
      <x:c r="F22" s="13"/>
      <x:c r="G22" s="13"/>
      <x:c r="H22" s="22"/>
      <x:c r="I22" s="22"/>
      <x:c r="J22" s="22" t="str">
        <x:f>IF(OR(H22="",I22=""),"",H22*I22)</x:f>
      </x:c>
      <x:c r="K22" s="22"/>
      <x:c r="L22" s="22"/>
      <x:c r="M22" s="22" t="str">
        <x:f>IF(J22="","",J22+IF(K22="",0,K22)+IF(L22="",0,L22))</x:f>
      </x:c>
      <x:c r="N22" s="22"/>
      <x:c r="O22" s="22" t="str">
        <x:f>IF(OR(N22="",M22=""),"",N22-M22)</x:f>
      </x:c>
      <x:c r="P22" s="24" t="str">
        <x:f>IFERROR(O22/N22,"")</x:f>
      </x:c>
      <x:c r="Q22" s="13"/>
      <x:c r="R22" s="13"/>
      <x:c r="S22" s="13" t="str">
        <x:f>IF(AND(D22="Можно заказывать",R22="Да",O22&gt;0),"GO","STOP")</x:f>
        <x:v>STOP</x:v>
      </x:c>
      <x:c r="T22" s="13"/>
    </x:row>
    <x:row r="23">
      <x:c r="A23" s="13"/>
      <x:c r="B23" s="13"/>
      <x:c r="C23" s="13"/>
      <x:c r="D23" s="13"/>
      <x:c r="E23" s="13"/>
      <x:c r="F23" s="13"/>
      <x:c r="G23" s="13"/>
      <x:c r="H23" s="22"/>
      <x:c r="I23" s="22"/>
      <x:c r="J23" s="22" t="str">
        <x:f>IF(OR(H23="",I23=""),"",H23*I23)</x:f>
      </x:c>
      <x:c r="K23" s="22"/>
      <x:c r="L23" s="22"/>
      <x:c r="M23" s="22" t="str">
        <x:f>IF(J23="","",J23+IF(K23="",0,K23)+IF(L23="",0,L23))</x:f>
      </x:c>
      <x:c r="N23" s="22"/>
      <x:c r="O23" s="22" t="str">
        <x:f>IF(OR(N23="",M23=""),"",N23-M23)</x:f>
      </x:c>
      <x:c r="P23" s="24" t="str">
        <x:f>IFERROR(O23/N23,"")</x:f>
      </x:c>
      <x:c r="Q23" s="13"/>
      <x:c r="R23" s="13"/>
      <x:c r="S23" s="13" t="str">
        <x:f>IF(AND(D23="Можно заказывать",R23="Да",O23&gt;0),"GO","STOP")</x:f>
        <x:v>STOP</x:v>
      </x:c>
      <x:c r="T23" s="13"/>
    </x:row>
    <x:row r="24">
      <x:c r="A24" s="13"/>
      <x:c r="B24" s="13"/>
      <x:c r="C24" s="13"/>
      <x:c r="D24" s="13"/>
      <x:c r="E24" s="13"/>
      <x:c r="F24" s="13"/>
      <x:c r="G24" s="13"/>
      <x:c r="H24" s="22"/>
      <x:c r="I24" s="22"/>
      <x:c r="J24" s="22" t="str">
        <x:f>IF(OR(H24="",I24=""),"",H24*I24)</x:f>
      </x:c>
      <x:c r="K24" s="22"/>
      <x:c r="L24" s="22"/>
      <x:c r="M24" s="22" t="str">
        <x:f>IF(J24="","",J24+IF(K24="",0,K24)+IF(L24="",0,L24))</x:f>
      </x:c>
      <x:c r="N24" s="22"/>
      <x:c r="O24" s="22" t="str">
        <x:f>IF(OR(N24="",M24=""),"",N24-M24)</x:f>
      </x:c>
      <x:c r="P24" s="24" t="str">
        <x:f>IFERROR(O24/N24,"")</x:f>
      </x:c>
      <x:c r="Q24" s="13"/>
      <x:c r="R24" s="13"/>
      <x:c r="S24" s="13" t="str">
        <x:f>IF(AND(D24="Можно заказывать",R24="Да",O24&gt;0),"GO","STOP")</x:f>
        <x:v>STOP</x:v>
      </x:c>
      <x:c r="T24" s="13"/>
    </x:row>
    <x:row r="25">
      <x:c r="A25" s="13"/>
      <x:c r="B25" s="13"/>
      <x:c r="C25" s="13"/>
      <x:c r="D25" s="13"/>
      <x:c r="E25" s="13"/>
      <x:c r="F25" s="13"/>
      <x:c r="G25" s="13"/>
      <x:c r="H25" s="22"/>
      <x:c r="I25" s="22"/>
      <x:c r="J25" s="22" t="str">
        <x:f>IF(OR(H25="",I25=""),"",H25*I25)</x:f>
      </x:c>
      <x:c r="K25" s="22"/>
      <x:c r="L25" s="22"/>
      <x:c r="M25" s="22" t="str">
        <x:f>IF(J25="","",J25+IF(K25="",0,K25)+IF(L25="",0,L25))</x:f>
      </x:c>
      <x:c r="N25" s="22"/>
      <x:c r="O25" s="22" t="str">
        <x:f>IF(OR(N25="",M25=""),"",N25-M25)</x:f>
      </x:c>
      <x:c r="P25" s="24" t="str">
        <x:f>IFERROR(O25/N25,"")</x:f>
      </x:c>
      <x:c r="Q25" s="13"/>
      <x:c r="R25" s="13"/>
      <x:c r="S25" s="13" t="str">
        <x:f>IF(AND(D25="Можно заказывать",R25="Да",O25&gt;0),"GO","STOP")</x:f>
        <x:v>STOP</x:v>
      </x:c>
      <x:c r="T25" s="13"/>
    </x:row>
    <x:row r="26">
      <x:c r="A26" s="13"/>
      <x:c r="B26" s="13"/>
      <x:c r="C26" s="13"/>
      <x:c r="D26" s="13"/>
      <x:c r="E26" s="13"/>
      <x:c r="F26" s="13"/>
      <x:c r="G26" s="13"/>
      <x:c r="H26" s="22"/>
      <x:c r="I26" s="22"/>
      <x:c r="J26" s="22" t="str">
        <x:f>IF(OR(H26="",I26=""),"",H26*I26)</x:f>
      </x:c>
      <x:c r="K26" s="22"/>
      <x:c r="L26" s="22"/>
      <x:c r="M26" s="22" t="str">
        <x:f>IF(J26="","",J26+IF(K26="",0,K26)+IF(L26="",0,L26))</x:f>
      </x:c>
      <x:c r="N26" s="22"/>
      <x:c r="O26" s="22" t="str">
        <x:f>IF(OR(N26="",M26=""),"",N26-M26)</x:f>
      </x:c>
      <x:c r="P26" s="24" t="str">
        <x:f>IFERROR(O26/N26,"")</x:f>
      </x:c>
      <x:c r="Q26" s="13"/>
      <x:c r="R26" s="13"/>
      <x:c r="S26" s="13" t="str">
        <x:f>IF(AND(D26="Можно заказывать",R26="Да",O26&gt;0),"GO","STOP")</x:f>
        <x:v>STOP</x:v>
      </x:c>
      <x:c r="T26" s="13"/>
    </x:row>
    <x:row r="27">
      <x:c r="A27" s="13"/>
      <x:c r="B27" s="13"/>
      <x:c r="C27" s="13"/>
      <x:c r="D27" s="13"/>
      <x:c r="E27" s="13"/>
      <x:c r="F27" s="13"/>
      <x:c r="G27" s="13"/>
      <x:c r="H27" s="22"/>
      <x:c r="I27" s="22"/>
      <x:c r="J27" s="22" t="str">
        <x:f>IF(OR(H27="",I27=""),"",H27*I27)</x:f>
      </x:c>
      <x:c r="K27" s="22"/>
      <x:c r="L27" s="22"/>
      <x:c r="M27" s="22" t="str">
        <x:f>IF(J27="","",J27+IF(K27="",0,K27)+IF(L27="",0,L27))</x:f>
      </x:c>
      <x:c r="N27" s="22"/>
      <x:c r="O27" s="22" t="str">
        <x:f>IF(OR(N27="",M27=""),"",N27-M27)</x:f>
      </x:c>
      <x:c r="P27" s="24" t="str">
        <x:f>IFERROR(O27/N27,"")</x:f>
      </x:c>
      <x:c r="Q27" s="13"/>
      <x:c r="R27" s="13"/>
      <x:c r="S27" s="13" t="str">
        <x:f>IF(AND(D27="Можно заказывать",R27="Да",O27&gt;0),"GO","STOP")</x:f>
        <x:v>STOP</x:v>
      </x:c>
      <x:c r="T27" s="13"/>
    </x:row>
    <x:row r="28">
      <x:c r="A28" s="13"/>
      <x:c r="B28" s="13"/>
      <x:c r="C28" s="13"/>
      <x:c r="D28" s="13"/>
      <x:c r="E28" s="13"/>
      <x:c r="F28" s="13"/>
      <x:c r="G28" s="13"/>
      <x:c r="H28" s="22"/>
      <x:c r="I28" s="22"/>
      <x:c r="J28" s="22" t="str">
        <x:f>IF(OR(H28="",I28=""),"",H28*I28)</x:f>
      </x:c>
      <x:c r="K28" s="22"/>
      <x:c r="L28" s="22"/>
      <x:c r="M28" s="22" t="str">
        <x:f>IF(J28="","",J28+IF(K28="",0,K28)+IF(L28="",0,L28))</x:f>
      </x:c>
      <x:c r="N28" s="22"/>
      <x:c r="O28" s="22" t="str">
        <x:f>IF(OR(N28="",M28=""),"",N28-M28)</x:f>
      </x:c>
      <x:c r="P28" s="24" t="str">
        <x:f>IFERROR(O28/N28,"")</x:f>
      </x:c>
      <x:c r="Q28" s="13"/>
      <x:c r="R28" s="13"/>
      <x:c r="S28" s="13" t="str">
        <x:f>IF(AND(D28="Можно заказывать",R28="Да",O28&gt;0),"GO","STOP")</x:f>
        <x:v>STOP</x:v>
      </x:c>
      <x:c r="T28" s="13"/>
    </x:row>
    <x:row r="29">
      <x:c r="A29" s="13"/>
      <x:c r="B29" s="13"/>
      <x:c r="C29" s="13"/>
      <x:c r="D29" s="13"/>
      <x:c r="E29" s="13"/>
      <x:c r="F29" s="13"/>
      <x:c r="G29" s="13"/>
      <x:c r="H29" s="22"/>
      <x:c r="I29" s="22"/>
      <x:c r="J29" s="22" t="str">
        <x:f>IF(OR(H29="",I29=""),"",H29*I29)</x:f>
      </x:c>
      <x:c r="K29" s="22"/>
      <x:c r="L29" s="22"/>
      <x:c r="M29" s="22" t="str">
        <x:f>IF(J29="","",J29+IF(K29="",0,K29)+IF(L29="",0,L29))</x:f>
      </x:c>
      <x:c r="N29" s="22"/>
      <x:c r="O29" s="22" t="str">
        <x:f>IF(OR(N29="",M29=""),"",N29-M29)</x:f>
      </x:c>
      <x:c r="P29" s="24" t="str">
        <x:f>IFERROR(O29/N29,"")</x:f>
      </x:c>
      <x:c r="Q29" s="13"/>
      <x:c r="R29" s="13"/>
      <x:c r="S29" s="13" t="str">
        <x:f>IF(AND(D29="Можно заказывать",R29="Да",O29&gt;0),"GO","STOP")</x:f>
        <x:v>STOP</x:v>
      </x:c>
      <x:c r="T29" s="13"/>
    </x:row>
    <x:row r="30">
      <x:c r="A30" s="13"/>
      <x:c r="B30" s="13"/>
      <x:c r="C30" s="13"/>
      <x:c r="D30" s="13"/>
      <x:c r="E30" s="13"/>
      <x:c r="F30" s="13"/>
      <x:c r="G30" s="13"/>
      <x:c r="H30" s="22"/>
      <x:c r="I30" s="22"/>
      <x:c r="J30" s="22" t="str">
        <x:f>IF(OR(H30="",I30=""),"",H30*I30)</x:f>
      </x:c>
      <x:c r="K30" s="22"/>
      <x:c r="L30" s="22"/>
      <x:c r="M30" s="22" t="str">
        <x:f>IF(J30="","",J30+IF(K30="",0,K30)+IF(L30="",0,L30))</x:f>
      </x:c>
      <x:c r="N30" s="22"/>
      <x:c r="O30" s="22" t="str">
        <x:f>IF(OR(N30="",M30=""),"",N30-M30)</x:f>
      </x:c>
      <x:c r="P30" s="24" t="str">
        <x:f>IFERROR(O30/N30,"")</x:f>
      </x:c>
      <x:c r="Q30" s="13"/>
      <x:c r="R30" s="13"/>
      <x:c r="S30" s="13" t="str">
        <x:f>IF(AND(D30="Можно заказывать",R30="Да",O30&gt;0),"GO","STOP")</x:f>
        <x:v>STOP</x:v>
      </x:c>
      <x:c r="T30" s="13"/>
    </x:row>
    <x:row r="31">
      <x:c r="A31" s="13"/>
      <x:c r="B31" s="13"/>
      <x:c r="C31" s="13"/>
      <x:c r="D31" s="13"/>
      <x:c r="E31" s="13"/>
      <x:c r="F31" s="13"/>
      <x:c r="G31" s="13"/>
      <x:c r="H31" s="22"/>
      <x:c r="I31" s="22"/>
      <x:c r="J31" s="22" t="str">
        <x:f>IF(OR(H31="",I31=""),"",H31*I31)</x:f>
      </x:c>
      <x:c r="K31" s="22"/>
      <x:c r="L31" s="22"/>
      <x:c r="M31" s="22" t="str">
        <x:f>IF(J31="","",J31+IF(K31="",0,K31)+IF(L31="",0,L31))</x:f>
      </x:c>
      <x:c r="N31" s="22"/>
      <x:c r="O31" s="22" t="str">
        <x:f>IF(OR(N31="",M31=""),"",N31-M31)</x:f>
      </x:c>
      <x:c r="P31" s="24" t="str">
        <x:f>IFERROR(O31/N31,"")</x:f>
      </x:c>
      <x:c r="Q31" s="13"/>
      <x:c r="R31" s="13"/>
      <x:c r="S31" s="13" t="str">
        <x:f>IF(AND(D31="Можно заказывать",R31="Да",O31&gt;0),"GO","STOP")</x:f>
        <x:v>STOP</x:v>
      </x:c>
      <x:c r="T31" s="13"/>
    </x:row>
    <x:row r="32">
      <x:c r="A32" s="13"/>
      <x:c r="B32" s="13"/>
      <x:c r="C32" s="13"/>
      <x:c r="D32" s="13"/>
      <x:c r="E32" s="13"/>
      <x:c r="F32" s="13"/>
      <x:c r="G32" s="13"/>
      <x:c r="H32" s="22"/>
      <x:c r="I32" s="22"/>
      <x:c r="J32" s="22" t="str">
        <x:f>IF(OR(H32="",I32=""),"",H32*I32)</x:f>
      </x:c>
      <x:c r="K32" s="22"/>
      <x:c r="L32" s="22"/>
      <x:c r="M32" s="22" t="str">
        <x:f>IF(J32="","",J32+IF(K32="",0,K32)+IF(L32="",0,L32))</x:f>
      </x:c>
      <x:c r="N32" s="22"/>
      <x:c r="O32" s="22" t="str">
        <x:f>IF(OR(N32="",M32=""),"",N32-M32)</x:f>
      </x:c>
      <x:c r="P32" s="24" t="str">
        <x:f>IFERROR(O32/N32,"")</x:f>
      </x:c>
      <x:c r="Q32" s="13"/>
      <x:c r="R32" s="13"/>
      <x:c r="S32" s="13" t="str">
        <x:f>IF(AND(D32="Можно заказывать",R32="Да",O32&gt;0),"GO","STOP")</x:f>
        <x:v>STOP</x:v>
      </x:c>
      <x:c r="T32" s="13"/>
    </x:row>
    <x:row r="33">
      <x:c r="A33" s="13"/>
      <x:c r="B33" s="13"/>
      <x:c r="C33" s="13"/>
      <x:c r="D33" s="13"/>
      <x:c r="E33" s="13"/>
      <x:c r="F33" s="13"/>
      <x:c r="G33" s="13"/>
      <x:c r="H33" s="22"/>
      <x:c r="I33" s="22"/>
      <x:c r="J33" s="22" t="str">
        <x:f>IF(OR(H33="",I33=""),"",H33*I33)</x:f>
      </x:c>
      <x:c r="K33" s="22"/>
      <x:c r="L33" s="22"/>
      <x:c r="M33" s="22" t="str">
        <x:f>IF(J33="","",J33+IF(K33="",0,K33)+IF(L33="",0,L33))</x:f>
      </x:c>
      <x:c r="N33" s="22"/>
      <x:c r="O33" s="22" t="str">
        <x:f>IF(OR(N33="",M33=""),"",N33-M33)</x:f>
      </x:c>
      <x:c r="P33" s="24" t="str">
        <x:f>IFERROR(O33/N33,"")</x:f>
      </x:c>
      <x:c r="Q33" s="13"/>
      <x:c r="R33" s="13"/>
      <x:c r="S33" s="13" t="str">
        <x:f>IF(AND(D33="Можно заказывать",R33="Да",O33&gt;0),"GO","STOP")</x:f>
        <x:v>STOP</x:v>
      </x:c>
      <x:c r="T33" s="13"/>
    </x:row>
    <x:row r="34">
      <x:c r="A34" s="13"/>
      <x:c r="B34" s="13"/>
      <x:c r="C34" s="13"/>
      <x:c r="D34" s="13"/>
      <x:c r="E34" s="13"/>
      <x:c r="F34" s="13"/>
      <x:c r="G34" s="13"/>
      <x:c r="H34" s="22"/>
      <x:c r="I34" s="22"/>
      <x:c r="J34" s="22" t="str">
        <x:f>IF(OR(H34="",I34=""),"",H34*I34)</x:f>
      </x:c>
      <x:c r="K34" s="22"/>
      <x:c r="L34" s="22"/>
      <x:c r="M34" s="22" t="str">
        <x:f>IF(J34="","",J34+IF(K34="",0,K34)+IF(L34="",0,L34))</x:f>
      </x:c>
      <x:c r="N34" s="22"/>
      <x:c r="O34" s="22" t="str">
        <x:f>IF(OR(N34="",M34=""),"",N34-M34)</x:f>
      </x:c>
      <x:c r="P34" s="24" t="str">
        <x:f>IFERROR(O34/N34,"")</x:f>
      </x:c>
      <x:c r="Q34" s="13"/>
      <x:c r="R34" s="13"/>
      <x:c r="S34" s="13" t="str">
        <x:f>IF(AND(D34="Можно заказывать",R34="Да",O34&gt;0),"GO","STOP")</x:f>
        <x:v>STOP</x:v>
      </x:c>
      <x:c r="T34" s="13"/>
    </x:row>
    <x:row r="35">
      <x:c r="A35" s="13"/>
      <x:c r="B35" s="13"/>
      <x:c r="C35" s="13"/>
      <x:c r="D35" s="13"/>
      <x:c r="E35" s="13"/>
      <x:c r="F35" s="13"/>
      <x:c r="G35" s="13"/>
      <x:c r="H35" s="22"/>
      <x:c r="I35" s="22"/>
      <x:c r="J35" s="22" t="str">
        <x:f>IF(OR(H35="",I35=""),"",H35*I35)</x:f>
      </x:c>
      <x:c r="K35" s="22"/>
      <x:c r="L35" s="22"/>
      <x:c r="M35" s="22" t="str">
        <x:f>IF(J35="","",J35+IF(K35="",0,K35)+IF(L35="",0,L35))</x:f>
      </x:c>
      <x:c r="N35" s="22"/>
      <x:c r="O35" s="22" t="str">
        <x:f>IF(OR(N35="",M35=""),"",N35-M35)</x:f>
      </x:c>
      <x:c r="P35" s="24" t="str">
        <x:f>IFERROR(O35/N35,"")</x:f>
      </x:c>
      <x:c r="Q35" s="13"/>
      <x:c r="R35" s="13"/>
      <x:c r="S35" s="13" t="str">
        <x:f>IF(AND(D35="Можно заказывать",R35="Да",O35&gt;0),"GO","STOP")</x:f>
        <x:v>STOP</x:v>
      </x:c>
      <x:c r="T35" s="13"/>
    </x:row>
    <x:row r="36">
      <x:c r="A36" s="13"/>
      <x:c r="B36" s="13"/>
      <x:c r="C36" s="13"/>
      <x:c r="D36" s="13"/>
      <x:c r="E36" s="13"/>
      <x:c r="F36" s="13"/>
      <x:c r="G36" s="13"/>
      <x:c r="H36" s="22"/>
      <x:c r="I36" s="22"/>
      <x:c r="J36" s="22" t="str">
        <x:f>IF(OR(H36="",I36=""),"",H36*I36)</x:f>
      </x:c>
      <x:c r="K36" s="22"/>
      <x:c r="L36" s="22"/>
      <x:c r="M36" s="22" t="str">
        <x:f>IF(J36="","",J36+IF(K36="",0,K36)+IF(L36="",0,L36))</x:f>
      </x:c>
      <x:c r="N36" s="22"/>
      <x:c r="O36" s="22" t="str">
        <x:f>IF(OR(N36="",M36=""),"",N36-M36)</x:f>
      </x:c>
      <x:c r="P36" s="24" t="str">
        <x:f>IFERROR(O36/N36,"")</x:f>
      </x:c>
      <x:c r="Q36" s="13"/>
      <x:c r="R36" s="13"/>
      <x:c r="S36" s="13" t="str">
        <x:f>IF(AND(D36="Можно заказывать",R36="Да",O36&gt;0),"GO","STOP")</x:f>
        <x:v>STOP</x:v>
      </x:c>
      <x:c r="T36" s="13"/>
    </x:row>
    <x:row r="37">
      <x:c r="A37" s="13"/>
      <x:c r="B37" s="13"/>
      <x:c r="C37" s="13"/>
      <x:c r="D37" s="13"/>
      <x:c r="E37" s="13"/>
      <x:c r="F37" s="13"/>
      <x:c r="G37" s="13"/>
      <x:c r="H37" s="22"/>
      <x:c r="I37" s="22"/>
      <x:c r="J37" s="22" t="str">
        <x:f>IF(OR(H37="",I37=""),"",H37*I37)</x:f>
      </x:c>
      <x:c r="K37" s="22"/>
      <x:c r="L37" s="22"/>
      <x:c r="M37" s="22" t="str">
        <x:f>IF(J37="","",J37+IF(K37="",0,K37)+IF(L37="",0,L37))</x:f>
      </x:c>
      <x:c r="N37" s="22"/>
      <x:c r="O37" s="22" t="str">
        <x:f>IF(OR(N37="",M37=""),"",N37-M37)</x:f>
      </x:c>
      <x:c r="P37" s="24" t="str">
        <x:f>IFERROR(O37/N37,"")</x:f>
      </x:c>
      <x:c r="Q37" s="13"/>
      <x:c r="R37" s="13"/>
      <x:c r="S37" s="13" t="str">
        <x:f>IF(AND(D37="Можно заказывать",R37="Да",O37&gt;0),"GO","STOP")</x:f>
        <x:v>STOP</x:v>
      </x:c>
      <x:c r="T37" s="13"/>
    </x:row>
    <x:row r="38">
      <x:c r="A38" s="13"/>
      <x:c r="B38" s="13"/>
      <x:c r="C38" s="13"/>
      <x:c r="D38" s="13"/>
      <x:c r="E38" s="13"/>
      <x:c r="F38" s="13"/>
      <x:c r="G38" s="13"/>
      <x:c r="H38" s="22"/>
      <x:c r="I38" s="22"/>
      <x:c r="J38" s="22" t="str">
        <x:f>IF(OR(H38="",I38=""),"",H38*I38)</x:f>
      </x:c>
      <x:c r="K38" s="22"/>
      <x:c r="L38" s="22"/>
      <x:c r="M38" s="22" t="str">
        <x:f>IF(J38="","",J38+IF(K38="",0,K38)+IF(L38="",0,L38))</x:f>
      </x:c>
      <x:c r="N38" s="22"/>
      <x:c r="O38" s="22" t="str">
        <x:f>IF(OR(N38="",M38=""),"",N38-M38)</x:f>
      </x:c>
      <x:c r="P38" s="24" t="str">
        <x:f>IFERROR(O38/N38,"")</x:f>
      </x:c>
      <x:c r="Q38" s="13"/>
      <x:c r="R38" s="13"/>
      <x:c r="S38" s="13" t="str">
        <x:f>IF(AND(D38="Можно заказывать",R38="Да",O38&gt;0),"GO","STOP")</x:f>
        <x:v>STOP</x:v>
      </x:c>
      <x:c r="T38" s="13"/>
    </x:row>
    <x:row r="39">
      <x:c r="A39" s="13"/>
      <x:c r="B39" s="13"/>
      <x:c r="C39" s="13"/>
      <x:c r="D39" s="13"/>
      <x:c r="E39" s="13"/>
      <x:c r="F39" s="13"/>
      <x:c r="G39" s="13"/>
      <x:c r="H39" s="22"/>
      <x:c r="I39" s="22"/>
      <x:c r="J39" s="22" t="str">
        <x:f>IF(OR(H39="",I39=""),"",H39*I39)</x:f>
      </x:c>
      <x:c r="K39" s="22"/>
      <x:c r="L39" s="22"/>
      <x:c r="M39" s="22" t="str">
        <x:f>IF(J39="","",J39+IF(K39="",0,K39)+IF(L39="",0,L39))</x:f>
      </x:c>
      <x:c r="N39" s="22"/>
      <x:c r="O39" s="22" t="str">
        <x:f>IF(OR(N39="",M39=""),"",N39-M39)</x:f>
      </x:c>
      <x:c r="P39" s="24" t="str">
        <x:f>IFERROR(O39/N39,"")</x:f>
      </x:c>
      <x:c r="Q39" s="13"/>
      <x:c r="R39" s="13"/>
      <x:c r="S39" s="13" t="str">
        <x:f>IF(AND(D39="Можно заказывать",R39="Да",O39&gt;0),"GO","STOP")</x:f>
        <x:v>STOP</x:v>
      </x:c>
      <x:c r="T39" s="13"/>
    </x:row>
    <x:row r="40">
      <x:c r="A40" s="13"/>
      <x:c r="B40" s="13"/>
      <x:c r="C40" s="13"/>
      <x:c r="D40" s="13"/>
      <x:c r="E40" s="13"/>
      <x:c r="F40" s="13"/>
      <x:c r="G40" s="13"/>
      <x:c r="H40" s="22"/>
      <x:c r="I40" s="22"/>
      <x:c r="J40" s="22" t="str">
        <x:f>IF(OR(H40="",I40=""),"",H40*I40)</x:f>
      </x:c>
      <x:c r="K40" s="22"/>
      <x:c r="L40" s="22"/>
      <x:c r="M40" s="22" t="str">
        <x:f>IF(J40="","",J40+IF(K40="",0,K40)+IF(L40="",0,L40))</x:f>
      </x:c>
      <x:c r="N40" s="22"/>
      <x:c r="O40" s="22" t="str">
        <x:f>IF(OR(N40="",M40=""),"",N40-M40)</x:f>
      </x:c>
      <x:c r="P40" s="24" t="str">
        <x:f>IFERROR(O40/N40,"")</x:f>
      </x:c>
      <x:c r="Q40" s="13"/>
      <x:c r="R40" s="13"/>
      <x:c r="S40" s="13" t="str">
        <x:f>IF(AND(D40="Можно заказывать",R40="Да",O40&gt;0),"GO","STOP")</x:f>
        <x:v>STOP</x:v>
      </x:c>
      <x:c r="T40" s="13"/>
    </x:row>
    <x:row r="41">
      <x:c r="A41" s="13"/>
      <x:c r="B41" s="13"/>
      <x:c r="C41" s="13"/>
      <x:c r="D41" s="13"/>
      <x:c r="E41" s="13"/>
      <x:c r="F41" s="13"/>
      <x:c r="G41" s="13"/>
      <x:c r="H41" s="22"/>
      <x:c r="I41" s="22"/>
      <x:c r="J41" s="22" t="str">
        <x:f>IF(OR(H41="",I41=""),"",H41*I41)</x:f>
      </x:c>
      <x:c r="K41" s="22"/>
      <x:c r="L41" s="22"/>
      <x:c r="M41" s="22" t="str">
        <x:f>IF(J41="","",J41+IF(K41="",0,K41)+IF(L41="",0,L41))</x:f>
      </x:c>
      <x:c r="N41" s="22"/>
      <x:c r="O41" s="22" t="str">
        <x:f>IF(OR(N41="",M41=""),"",N41-M41)</x:f>
      </x:c>
      <x:c r="P41" s="24" t="str">
        <x:f>IFERROR(O41/N41,"")</x:f>
      </x:c>
      <x:c r="Q41" s="13"/>
      <x:c r="R41" s="13"/>
      <x:c r="S41" s="13" t="str">
        <x:f>IF(AND(D41="Можно заказывать",R41="Да",O41&gt;0),"GO","STOP")</x:f>
        <x:v>STOP</x:v>
      </x:c>
      <x:c r="T41" s="13"/>
    </x:row>
    <x:row r="42">
      <x:c r="A42" s="13"/>
      <x:c r="B42" s="13"/>
      <x:c r="C42" s="13"/>
      <x:c r="D42" s="13"/>
      <x:c r="E42" s="13"/>
      <x:c r="F42" s="13"/>
      <x:c r="G42" s="13"/>
      <x:c r="H42" s="22"/>
      <x:c r="I42" s="22"/>
      <x:c r="J42" s="22" t="str">
        <x:f>IF(OR(H42="",I42=""),"",H42*I42)</x:f>
      </x:c>
      <x:c r="K42" s="22"/>
      <x:c r="L42" s="22"/>
      <x:c r="M42" s="22" t="str">
        <x:f>IF(J42="","",J42+IF(K42="",0,K42)+IF(L42="",0,L42))</x:f>
      </x:c>
      <x:c r="N42" s="22"/>
      <x:c r="O42" s="22" t="str">
        <x:f>IF(OR(N42="",M42=""),"",N42-M42)</x:f>
      </x:c>
      <x:c r="P42" s="24" t="str">
        <x:f>IFERROR(O42/N42,"")</x:f>
      </x:c>
      <x:c r="Q42" s="13"/>
      <x:c r="R42" s="13"/>
      <x:c r="S42" s="13" t="str">
        <x:f>IF(AND(D42="Можно заказывать",R42="Да",O42&gt;0),"GO","STOP")</x:f>
        <x:v>STOP</x:v>
      </x:c>
      <x:c r="T42" s="13"/>
    </x:row>
    <x:row r="43">
      <x:c r="A43" s="13"/>
      <x:c r="B43" s="13"/>
      <x:c r="C43" s="13"/>
      <x:c r="D43" s="13"/>
      <x:c r="E43" s="13"/>
      <x:c r="F43" s="13"/>
      <x:c r="G43" s="13"/>
      <x:c r="H43" s="22"/>
      <x:c r="I43" s="22"/>
      <x:c r="J43" s="22" t="str">
        <x:f>IF(OR(H43="",I43=""),"",H43*I43)</x:f>
      </x:c>
      <x:c r="K43" s="22"/>
      <x:c r="L43" s="22"/>
      <x:c r="M43" s="22" t="str">
        <x:f>IF(J43="","",J43+IF(K43="",0,K43)+IF(L43="",0,L43))</x:f>
      </x:c>
      <x:c r="N43" s="22"/>
      <x:c r="O43" s="22" t="str">
        <x:f>IF(OR(N43="",M43=""),"",N43-M43)</x:f>
      </x:c>
      <x:c r="P43" s="24" t="str">
        <x:f>IFERROR(O43/N43,"")</x:f>
      </x:c>
      <x:c r="Q43" s="13"/>
      <x:c r="R43" s="13"/>
      <x:c r="S43" s="13" t="str">
        <x:f>IF(AND(D43="Можно заказывать",R43="Да",O43&gt;0),"GO","STOP")</x:f>
        <x:v>STOP</x:v>
      </x:c>
      <x:c r="T43" s="13"/>
    </x:row>
    <x:row r="44">
      <x:c r="A44" s="13"/>
      <x:c r="B44" s="13"/>
      <x:c r="C44" s="13"/>
      <x:c r="D44" s="13"/>
      <x:c r="E44" s="13"/>
      <x:c r="F44" s="13"/>
      <x:c r="G44" s="13"/>
      <x:c r="H44" s="22"/>
      <x:c r="I44" s="22"/>
      <x:c r="J44" s="22" t="str">
        <x:f>IF(OR(H44="",I44=""),"",H44*I44)</x:f>
      </x:c>
      <x:c r="K44" s="22"/>
      <x:c r="L44" s="22"/>
      <x:c r="M44" s="22" t="str">
        <x:f>IF(J44="","",J44+IF(K44="",0,K44)+IF(L44="",0,L44))</x:f>
      </x:c>
      <x:c r="N44" s="22"/>
      <x:c r="O44" s="22" t="str">
        <x:f>IF(OR(N44="",M44=""),"",N44-M44)</x:f>
      </x:c>
      <x:c r="P44" s="24" t="str">
        <x:f>IFERROR(O44/N44,"")</x:f>
      </x:c>
      <x:c r="Q44" s="13"/>
      <x:c r="R44" s="13"/>
      <x:c r="S44" s="13" t="str">
        <x:f>IF(AND(D44="Можно заказывать",R44="Да",O44&gt;0),"GO","STOP")</x:f>
        <x:v>STOP</x:v>
      </x:c>
      <x:c r="T44" s="13"/>
    </x:row>
    <x:row r="45">
      <x:c r="A45" s="13"/>
      <x:c r="B45" s="13"/>
      <x:c r="C45" s="13"/>
      <x:c r="D45" s="13"/>
      <x:c r="E45" s="13"/>
      <x:c r="F45" s="13"/>
      <x:c r="G45" s="13"/>
      <x:c r="H45" s="22"/>
      <x:c r="I45" s="22"/>
      <x:c r="J45" s="22" t="str">
        <x:f>IF(OR(H45="",I45=""),"",H45*I45)</x:f>
      </x:c>
      <x:c r="K45" s="22"/>
      <x:c r="L45" s="22"/>
      <x:c r="M45" s="22" t="str">
        <x:f>IF(J45="","",J45+IF(K45="",0,K45)+IF(L45="",0,L45))</x:f>
      </x:c>
      <x:c r="N45" s="22"/>
      <x:c r="O45" s="22" t="str">
        <x:f>IF(OR(N45="",M45=""),"",N45-M45)</x:f>
      </x:c>
      <x:c r="P45" s="24" t="str">
        <x:f>IFERROR(O45/N45,"")</x:f>
      </x:c>
      <x:c r="Q45" s="13"/>
      <x:c r="R45" s="13"/>
      <x:c r="S45" s="13" t="str">
        <x:f>IF(AND(D45="Можно заказывать",R45="Да",O45&gt;0),"GO","STOP")</x:f>
        <x:v>STOP</x:v>
      </x:c>
      <x:c r="T45" s="13"/>
    </x:row>
    <x:row r="46">
      <x:c r="A46" s="13"/>
      <x:c r="B46" s="13"/>
      <x:c r="C46" s="13"/>
      <x:c r="D46" s="13"/>
      <x:c r="E46" s="13"/>
      <x:c r="F46" s="13"/>
      <x:c r="G46" s="13"/>
      <x:c r="H46" s="22"/>
      <x:c r="I46" s="22"/>
      <x:c r="J46" s="22" t="str">
        <x:f>IF(OR(H46="",I46=""),"",H46*I46)</x:f>
      </x:c>
      <x:c r="K46" s="22"/>
      <x:c r="L46" s="22"/>
      <x:c r="M46" s="22" t="str">
        <x:f>IF(J46="","",J46+IF(K46="",0,K46)+IF(L46="",0,L46))</x:f>
      </x:c>
      <x:c r="N46" s="22"/>
      <x:c r="O46" s="22" t="str">
        <x:f>IF(OR(N46="",M46=""),"",N46-M46)</x:f>
      </x:c>
      <x:c r="P46" s="24" t="str">
        <x:f>IFERROR(O46/N46,"")</x:f>
      </x:c>
      <x:c r="Q46" s="13"/>
      <x:c r="R46" s="13"/>
      <x:c r="S46" s="13" t="str">
        <x:f>IF(AND(D46="Можно заказывать",R46="Да",O46&gt;0),"GO","STOP")</x:f>
        <x:v>STOP</x:v>
      </x:c>
      <x:c r="T46" s="13"/>
    </x:row>
    <x:row r="47">
      <x:c r="A47" s="13"/>
      <x:c r="B47" s="13"/>
      <x:c r="C47" s="13"/>
      <x:c r="D47" s="13"/>
      <x:c r="E47" s="13"/>
      <x:c r="F47" s="13"/>
      <x:c r="G47" s="13"/>
      <x:c r="H47" s="22"/>
      <x:c r="I47" s="22"/>
      <x:c r="J47" s="22" t="str">
        <x:f>IF(OR(H47="",I47=""),"",H47*I47)</x:f>
      </x:c>
      <x:c r="K47" s="22"/>
      <x:c r="L47" s="22"/>
      <x:c r="M47" s="22" t="str">
        <x:f>IF(J47="","",J47+IF(K47="",0,K47)+IF(L47="",0,L47))</x:f>
      </x:c>
      <x:c r="N47" s="22"/>
      <x:c r="O47" s="22" t="str">
        <x:f>IF(OR(N47="",M47=""),"",N47-M47)</x:f>
      </x:c>
      <x:c r="P47" s="24" t="str">
        <x:f>IFERROR(O47/N47,"")</x:f>
      </x:c>
      <x:c r="Q47" s="13"/>
      <x:c r="R47" s="13"/>
      <x:c r="S47" s="13" t="str">
        <x:f>IF(AND(D47="Можно заказывать",R47="Да",O47&gt;0),"GO","STOP")</x:f>
        <x:v>STOP</x:v>
      </x:c>
      <x:c r="T47" s="13"/>
    </x:row>
    <x:row r="48">
      <x:c r="A48" s="13"/>
      <x:c r="B48" s="13"/>
      <x:c r="C48" s="13"/>
      <x:c r="D48" s="13"/>
      <x:c r="E48" s="13"/>
      <x:c r="F48" s="13"/>
      <x:c r="G48" s="13"/>
      <x:c r="H48" s="22"/>
      <x:c r="I48" s="22"/>
      <x:c r="J48" s="22" t="str">
        <x:f>IF(OR(H48="",I48=""),"",H48*I48)</x:f>
      </x:c>
      <x:c r="K48" s="22"/>
      <x:c r="L48" s="22"/>
      <x:c r="M48" s="22" t="str">
        <x:f>IF(J48="","",J48+IF(K48="",0,K48)+IF(L48="",0,L48))</x:f>
      </x:c>
      <x:c r="N48" s="22"/>
      <x:c r="O48" s="22" t="str">
        <x:f>IF(OR(N48="",M48=""),"",N48-M48)</x:f>
      </x:c>
      <x:c r="P48" s="24" t="str">
        <x:f>IFERROR(O48/N48,"")</x:f>
      </x:c>
      <x:c r="Q48" s="13"/>
      <x:c r="R48" s="13"/>
      <x:c r="S48" s="13" t="str">
        <x:f>IF(AND(D48="Можно заказывать",R48="Да",O48&gt;0),"GO","STOP")</x:f>
        <x:v>STOP</x:v>
      </x:c>
      <x:c r="T48" s="13"/>
    </x:row>
    <x:row r="49">
      <x:c r="A49" s="13"/>
      <x:c r="B49" s="13"/>
      <x:c r="C49" s="13"/>
      <x:c r="D49" s="13"/>
      <x:c r="E49" s="13"/>
      <x:c r="F49" s="13"/>
      <x:c r="G49" s="13"/>
      <x:c r="H49" s="22"/>
      <x:c r="I49" s="22"/>
      <x:c r="J49" s="22" t="str">
        <x:f>IF(OR(H49="",I49=""),"",H49*I49)</x:f>
      </x:c>
      <x:c r="K49" s="22"/>
      <x:c r="L49" s="22"/>
      <x:c r="M49" s="22" t="str">
        <x:f>IF(J49="","",J49+IF(K49="",0,K49)+IF(L49="",0,L49))</x:f>
      </x:c>
      <x:c r="N49" s="22"/>
      <x:c r="O49" s="22" t="str">
        <x:f>IF(OR(N49="",M49=""),"",N49-M49)</x:f>
      </x:c>
      <x:c r="P49" s="24" t="str">
        <x:f>IFERROR(O49/N49,"")</x:f>
      </x:c>
      <x:c r="Q49" s="13"/>
      <x:c r="R49" s="13"/>
      <x:c r="S49" s="13" t="str">
        <x:f>IF(AND(D49="Можно заказывать",R49="Да",O49&gt;0),"GO","STOP")</x:f>
        <x:v>STOP</x:v>
      </x:c>
      <x:c r="T49" s="13"/>
    </x:row>
    <x:row r="50">
      <x:c r="A50" s="13"/>
      <x:c r="B50" s="13"/>
      <x:c r="C50" s="13"/>
      <x:c r="D50" s="13"/>
      <x:c r="E50" s="13"/>
      <x:c r="F50" s="13"/>
      <x:c r="G50" s="13"/>
      <x:c r="H50" s="22"/>
      <x:c r="I50" s="22"/>
      <x:c r="J50" s="22" t="str">
        <x:f>IF(OR(H50="",I50=""),"",H50*I50)</x:f>
      </x:c>
      <x:c r="K50" s="22"/>
      <x:c r="L50" s="22"/>
      <x:c r="M50" s="22" t="str">
        <x:f>IF(J50="","",J50+IF(K50="",0,K50)+IF(L50="",0,L50))</x:f>
      </x:c>
      <x:c r="N50" s="22"/>
      <x:c r="O50" s="22" t="str">
        <x:f>IF(OR(N50="",M50=""),"",N50-M50)</x:f>
      </x:c>
      <x:c r="P50" s="24" t="str">
        <x:f>IFERROR(O50/N50,"")</x:f>
      </x:c>
      <x:c r="Q50" s="13"/>
      <x:c r="R50" s="13"/>
      <x:c r="S50" s="13" t="str">
        <x:f>IF(AND(D50="Можно заказывать",R50="Да",O50&gt;0),"GO","STOP")</x:f>
        <x:v>STOP</x:v>
      </x:c>
      <x:c r="T50" s="13"/>
    </x:row>
    <x:row r="51">
      <x:c r="A51" s="13"/>
      <x:c r="B51" s="13"/>
      <x:c r="C51" s="13"/>
      <x:c r="D51" s="13"/>
      <x:c r="E51" s="13"/>
      <x:c r="F51" s="13"/>
      <x:c r="G51" s="13"/>
      <x:c r="H51" s="22"/>
      <x:c r="I51" s="22"/>
      <x:c r="J51" s="22" t="str">
        <x:f>IF(OR(H51="",I51=""),"",H51*I51)</x:f>
      </x:c>
      <x:c r="K51" s="22"/>
      <x:c r="L51" s="22"/>
      <x:c r="M51" s="22" t="str">
        <x:f>IF(J51="","",J51+IF(K51="",0,K51)+IF(L51="",0,L51))</x:f>
      </x:c>
      <x:c r="N51" s="22"/>
      <x:c r="O51" s="22" t="str">
        <x:f>IF(OR(N51="",M51=""),"",N51-M51)</x:f>
      </x:c>
      <x:c r="P51" s="24" t="str">
        <x:f>IFERROR(O51/N51,"")</x:f>
      </x:c>
      <x:c r="Q51" s="13"/>
      <x:c r="R51" s="13"/>
      <x:c r="S51" s="13" t="str">
        <x:f>IF(AND(D51="Можно заказывать",R51="Да",O51&gt;0),"GO","STOP")</x:f>
        <x:v>STOP</x:v>
      </x:c>
      <x:c r="T51" s="13"/>
    </x:row>
    <x:row r="52">
      <x:c r="A52" s="13"/>
      <x:c r="B52" s="13"/>
      <x:c r="C52" s="13"/>
      <x:c r="D52" s="13"/>
      <x:c r="E52" s="13"/>
      <x:c r="F52" s="13"/>
      <x:c r="G52" s="13"/>
      <x:c r="H52" s="22"/>
      <x:c r="I52" s="22"/>
      <x:c r="J52" s="22" t="str">
        <x:f>IF(OR(H52="",I52=""),"",H52*I52)</x:f>
      </x:c>
      <x:c r="K52" s="22"/>
      <x:c r="L52" s="22"/>
      <x:c r="M52" s="22" t="str">
        <x:f>IF(J52="","",J52+IF(K52="",0,K52)+IF(L52="",0,L52))</x:f>
      </x:c>
      <x:c r="N52" s="22"/>
      <x:c r="O52" s="22" t="str">
        <x:f>IF(OR(N52="",M52=""),"",N52-M52)</x:f>
      </x:c>
      <x:c r="P52" s="24" t="str">
        <x:f>IFERROR(O52/N52,"")</x:f>
      </x:c>
      <x:c r="Q52" s="13"/>
      <x:c r="R52" s="13"/>
      <x:c r="S52" s="13" t="str">
        <x:f>IF(AND(D52="Можно заказывать",R52="Да",O52&gt;0),"GO","STOP")</x:f>
        <x:v>STOP</x:v>
      </x:c>
      <x:c r="T52" s="13"/>
    </x:row>
    <x:row r="53">
      <x:c r="A53" s="13"/>
      <x:c r="B53" s="13"/>
      <x:c r="C53" s="13"/>
      <x:c r="D53" s="13"/>
      <x:c r="E53" s="13"/>
      <x:c r="F53" s="13"/>
      <x:c r="G53" s="13"/>
      <x:c r="H53" s="22"/>
      <x:c r="I53" s="22"/>
      <x:c r="J53" s="22" t="str">
        <x:f>IF(OR(H53="",I53=""),"",H53*I53)</x:f>
      </x:c>
      <x:c r="K53" s="22"/>
      <x:c r="L53" s="22"/>
      <x:c r="M53" s="22" t="str">
        <x:f>IF(J53="","",J53+IF(K53="",0,K53)+IF(L53="",0,L53))</x:f>
      </x:c>
      <x:c r="N53" s="22"/>
      <x:c r="O53" s="22" t="str">
        <x:f>IF(OR(N53="",M53=""),"",N53-M53)</x:f>
      </x:c>
      <x:c r="P53" s="24" t="str">
        <x:f>IFERROR(O53/N53,"")</x:f>
      </x:c>
      <x:c r="Q53" s="13"/>
      <x:c r="R53" s="13"/>
      <x:c r="S53" s="13" t="str">
        <x:f>IF(AND(D53="Можно заказывать",R53="Да",O53&gt;0),"GO","STOP")</x:f>
        <x:v>STOP</x:v>
      </x:c>
      <x:c r="T53" s="13"/>
    </x:row>
    <x:row r="54">
      <x:c r="A54" s="13"/>
      <x:c r="B54" s="13"/>
      <x:c r="C54" s="13"/>
      <x:c r="D54" s="13"/>
      <x:c r="E54" s="13"/>
      <x:c r="F54" s="13"/>
      <x:c r="G54" s="13"/>
      <x:c r="H54" s="22"/>
      <x:c r="I54" s="22"/>
      <x:c r="J54" s="22" t="str">
        <x:f>IF(OR(H54="",I54=""),"",H54*I54)</x:f>
      </x:c>
      <x:c r="K54" s="22"/>
      <x:c r="L54" s="22"/>
      <x:c r="M54" s="22" t="str">
        <x:f>IF(J54="","",J54+IF(K54="",0,K54)+IF(L54="",0,L54))</x:f>
      </x:c>
      <x:c r="N54" s="22"/>
      <x:c r="O54" s="22" t="str">
        <x:f>IF(OR(N54="",M54=""),"",N54-M54)</x:f>
      </x:c>
      <x:c r="P54" s="24" t="str">
        <x:f>IFERROR(O54/N54,"")</x:f>
      </x:c>
      <x:c r="Q54" s="13"/>
      <x:c r="R54" s="13"/>
      <x:c r="S54" s="13" t="str">
        <x:f>IF(AND(D54="Можно заказывать",R54="Да",O54&gt;0),"GO","STOP")</x:f>
        <x:v>STOP</x:v>
      </x:c>
      <x:c r="T54" s="13"/>
    </x:row>
    <x:row r="55">
      <x:c r="A55" s="13"/>
      <x:c r="B55" s="13"/>
      <x:c r="C55" s="13"/>
      <x:c r="D55" s="13"/>
      <x:c r="E55" s="13"/>
      <x:c r="F55" s="13"/>
      <x:c r="G55" s="13"/>
      <x:c r="H55" s="22"/>
      <x:c r="I55" s="22"/>
      <x:c r="J55" s="22" t="str">
        <x:f>IF(OR(H55="",I55=""),"",H55*I55)</x:f>
      </x:c>
      <x:c r="K55" s="22"/>
      <x:c r="L55" s="22"/>
      <x:c r="M55" s="22" t="str">
        <x:f>IF(J55="","",J55+IF(K55="",0,K55)+IF(L55="",0,L55))</x:f>
      </x:c>
      <x:c r="N55" s="22"/>
      <x:c r="O55" s="22" t="str">
        <x:f>IF(OR(N55="",M55=""),"",N55-M55)</x:f>
      </x:c>
      <x:c r="P55" s="24" t="str">
        <x:f>IFERROR(O55/N55,"")</x:f>
      </x:c>
      <x:c r="Q55" s="13"/>
      <x:c r="R55" s="13"/>
      <x:c r="S55" s="13" t="str">
        <x:f>IF(AND(D55="Можно заказывать",R55="Да",O55&gt;0),"GO","STOP")</x:f>
        <x:v>STOP</x:v>
      </x:c>
      <x:c r="T55" s="13"/>
    </x:row>
    <x:row r="56">
      <x:c r="A56" s="13"/>
      <x:c r="B56" s="13"/>
      <x:c r="C56" s="13"/>
      <x:c r="D56" s="13"/>
      <x:c r="E56" s="13"/>
      <x:c r="F56" s="13"/>
      <x:c r="G56" s="13"/>
      <x:c r="H56" s="22"/>
      <x:c r="I56" s="22"/>
      <x:c r="J56" s="22" t="str">
        <x:f>IF(OR(H56="",I56=""),"",H56*I56)</x:f>
      </x:c>
      <x:c r="K56" s="22"/>
      <x:c r="L56" s="22"/>
      <x:c r="M56" s="22" t="str">
        <x:f>IF(J56="","",J56+IF(K56="",0,K56)+IF(L56="",0,L56))</x:f>
      </x:c>
      <x:c r="N56" s="22"/>
      <x:c r="O56" s="22" t="str">
        <x:f>IF(OR(N56="",M56=""),"",N56-M56)</x:f>
      </x:c>
      <x:c r="P56" s="24" t="str">
        <x:f>IFERROR(O56/N56,"")</x:f>
      </x:c>
      <x:c r="Q56" s="13"/>
      <x:c r="R56" s="13"/>
      <x:c r="S56" s="13" t="str">
        <x:f>IF(AND(D56="Можно заказывать",R56="Да",O56&gt;0),"GO","STOP")</x:f>
        <x:v>STOP</x:v>
      </x:c>
      <x:c r="T56" s="13"/>
    </x:row>
    <x:row r="57">
      <x:c r="A57" s="13"/>
      <x:c r="B57" s="13"/>
      <x:c r="C57" s="13"/>
      <x:c r="D57" s="13"/>
      <x:c r="E57" s="13"/>
      <x:c r="F57" s="13"/>
      <x:c r="G57" s="13"/>
      <x:c r="H57" s="22"/>
      <x:c r="I57" s="22"/>
      <x:c r="J57" s="22" t="str">
        <x:f>IF(OR(H57="",I57=""),"",H57*I57)</x:f>
      </x:c>
      <x:c r="K57" s="22"/>
      <x:c r="L57" s="22"/>
      <x:c r="M57" s="22" t="str">
        <x:f>IF(J57="","",J57+IF(K57="",0,K57)+IF(L57="",0,L57))</x:f>
      </x:c>
      <x:c r="N57" s="22"/>
      <x:c r="O57" s="22" t="str">
        <x:f>IF(OR(N57="",M57=""),"",N57-M57)</x:f>
      </x:c>
      <x:c r="P57" s="24" t="str">
        <x:f>IFERROR(O57/N57,"")</x:f>
      </x:c>
      <x:c r="Q57" s="13"/>
      <x:c r="R57" s="13"/>
      <x:c r="S57" s="13" t="str">
        <x:f>IF(AND(D57="Можно заказывать",R57="Да",O57&gt;0),"GO","STOP")</x:f>
        <x:v>STOP</x:v>
      </x:c>
      <x:c r="T57" s="13"/>
    </x:row>
    <x:row r="58">
      <x:c r="A58" s="13"/>
      <x:c r="B58" s="13"/>
      <x:c r="C58" s="13"/>
      <x:c r="D58" s="13"/>
      <x:c r="E58" s="13"/>
      <x:c r="F58" s="13"/>
      <x:c r="G58" s="13"/>
      <x:c r="H58" s="22"/>
      <x:c r="I58" s="22"/>
      <x:c r="J58" s="22" t="str">
        <x:f>IF(OR(H58="",I58=""),"",H58*I58)</x:f>
      </x:c>
      <x:c r="K58" s="22"/>
      <x:c r="L58" s="22"/>
      <x:c r="M58" s="22" t="str">
        <x:f>IF(J58="","",J58+IF(K58="",0,K58)+IF(L58="",0,L58))</x:f>
      </x:c>
      <x:c r="N58" s="22"/>
      <x:c r="O58" s="22" t="str">
        <x:f>IF(OR(N58="",M58=""),"",N58-M58)</x:f>
      </x:c>
      <x:c r="P58" s="24" t="str">
        <x:f>IFERROR(O58/N58,"")</x:f>
      </x:c>
      <x:c r="Q58" s="13"/>
      <x:c r="R58" s="13"/>
      <x:c r="S58" s="13" t="str">
        <x:f>IF(AND(D58="Можно заказывать",R58="Да",O58&gt;0),"GO","STOP")</x:f>
        <x:v>STOP</x:v>
      </x:c>
      <x:c r="T58" s="13"/>
    </x:row>
    <x:row r="59">
      <x:c r="A59" s="13"/>
      <x:c r="B59" s="13"/>
      <x:c r="C59" s="13"/>
      <x:c r="D59" s="13"/>
      <x:c r="E59" s="13"/>
      <x:c r="F59" s="13"/>
      <x:c r="G59" s="13"/>
      <x:c r="H59" s="22"/>
      <x:c r="I59" s="22"/>
      <x:c r="J59" s="22" t="str">
        <x:f>IF(OR(H59="",I59=""),"",H59*I59)</x:f>
      </x:c>
      <x:c r="K59" s="22"/>
      <x:c r="L59" s="22"/>
      <x:c r="M59" s="22" t="str">
        <x:f>IF(J59="","",J59+IF(K59="",0,K59)+IF(L59="",0,L59))</x:f>
      </x:c>
      <x:c r="N59" s="22"/>
      <x:c r="O59" s="22" t="str">
        <x:f>IF(OR(N59="",M59=""),"",N59-M59)</x:f>
      </x:c>
      <x:c r="P59" s="24" t="str">
        <x:f>IFERROR(O59/N59,"")</x:f>
      </x:c>
      <x:c r="Q59" s="13"/>
      <x:c r="R59" s="13"/>
      <x:c r="S59" s="13" t="str">
        <x:f>IF(AND(D59="Можно заказывать",R59="Да",O59&gt;0),"GO","STOP")</x:f>
        <x:v>STOP</x:v>
      </x:c>
      <x:c r="T59" s="13"/>
    </x:row>
    <x:row r="60">
      <x:c r="A60" s="13"/>
      <x:c r="B60" s="13"/>
      <x:c r="C60" s="13"/>
      <x:c r="D60" s="13"/>
      <x:c r="E60" s="13"/>
      <x:c r="F60" s="13"/>
      <x:c r="G60" s="13"/>
      <x:c r="H60" s="22"/>
      <x:c r="I60" s="22"/>
      <x:c r="J60" s="22" t="str">
        <x:f>IF(OR(H60="",I60=""),"",H60*I60)</x:f>
      </x:c>
      <x:c r="K60" s="22"/>
      <x:c r="L60" s="22"/>
      <x:c r="M60" s="22" t="str">
        <x:f>IF(J60="","",J60+IF(K60="",0,K60)+IF(L60="",0,L60))</x:f>
      </x:c>
      <x:c r="N60" s="22"/>
      <x:c r="O60" s="22" t="str">
        <x:f>IF(OR(N60="",M60=""),"",N60-M60)</x:f>
      </x:c>
      <x:c r="P60" s="24" t="str">
        <x:f>IFERROR(O60/N60,"")</x:f>
      </x:c>
      <x:c r="Q60" s="13"/>
      <x:c r="R60" s="13"/>
      <x:c r="S60" s="13" t="str">
        <x:f>IF(AND(D60="Можно заказывать",R60="Да",O60&gt;0),"GO","STOP")</x:f>
        <x:v>STOP</x:v>
      </x:c>
      <x:c r="T60" s="13"/>
    </x:row>
    <x:row r="61">
      <x:c r="A61" s="13"/>
      <x:c r="B61" s="13"/>
      <x:c r="C61" s="13"/>
      <x:c r="D61" s="13"/>
      <x:c r="E61" s="13"/>
      <x:c r="F61" s="13"/>
      <x:c r="G61" s="13"/>
      <x:c r="H61" s="22"/>
      <x:c r="I61" s="22"/>
      <x:c r="J61" s="22" t="str">
        <x:f>IF(OR(H61="",I61=""),"",H61*I61)</x:f>
      </x:c>
      <x:c r="K61" s="22"/>
      <x:c r="L61" s="22"/>
      <x:c r="M61" s="22" t="str">
        <x:f>IF(J61="","",J61+IF(K61="",0,K61)+IF(L61="",0,L61))</x:f>
      </x:c>
      <x:c r="N61" s="22"/>
      <x:c r="O61" s="22" t="str">
        <x:f>IF(OR(N61="",M61=""),"",N61-M61)</x:f>
      </x:c>
      <x:c r="P61" s="24" t="str">
        <x:f>IFERROR(O61/N61,"")</x:f>
      </x:c>
      <x:c r="Q61" s="13"/>
      <x:c r="R61" s="13"/>
      <x:c r="S61" s="13" t="str">
        <x:f>IF(AND(D61="Можно заказывать",R61="Да",O61&gt;0),"GO","STOP")</x:f>
        <x:v>STOP</x:v>
      </x:c>
      <x:c r="T61" s="13"/>
    </x:row>
    <x:row r="62">
      <x:c r="A62" s="13"/>
      <x:c r="B62" s="13"/>
      <x:c r="C62" s="13"/>
      <x:c r="D62" s="13"/>
      <x:c r="E62" s="13"/>
      <x:c r="F62" s="13"/>
      <x:c r="G62" s="13"/>
      <x:c r="H62" s="22"/>
      <x:c r="I62" s="22"/>
      <x:c r="J62" s="22" t="str">
        <x:f>IF(OR(H62="",I62=""),"",H62*I62)</x:f>
      </x:c>
      <x:c r="K62" s="22"/>
      <x:c r="L62" s="22"/>
      <x:c r="M62" s="22" t="str">
        <x:f>IF(J62="","",J62+IF(K62="",0,K62)+IF(L62="",0,L62))</x:f>
      </x:c>
      <x:c r="N62" s="22"/>
      <x:c r="O62" s="22" t="str">
        <x:f>IF(OR(N62="",M62=""),"",N62-M62)</x:f>
      </x:c>
      <x:c r="P62" s="24" t="str">
        <x:f>IFERROR(O62/N62,"")</x:f>
      </x:c>
      <x:c r="Q62" s="13"/>
      <x:c r="R62" s="13"/>
      <x:c r="S62" s="13" t="str">
        <x:f>IF(AND(D62="Можно заказывать",R62="Да",O62&gt;0),"GO","STOP")</x:f>
        <x:v>STOP</x:v>
      </x:c>
      <x:c r="T62" s="13"/>
    </x:row>
    <x:row r="63">
      <x:c r="A63" s="13"/>
      <x:c r="B63" s="13"/>
      <x:c r="C63" s="13"/>
      <x:c r="D63" s="13"/>
      <x:c r="E63" s="13"/>
      <x:c r="F63" s="13"/>
      <x:c r="G63" s="13"/>
      <x:c r="H63" s="22"/>
      <x:c r="I63" s="22"/>
      <x:c r="J63" s="22" t="str">
        <x:f>IF(OR(H63="",I63=""),"",H63*I63)</x:f>
      </x:c>
      <x:c r="K63" s="22"/>
      <x:c r="L63" s="22"/>
      <x:c r="M63" s="22" t="str">
        <x:f>IF(J63="","",J63+IF(K63="",0,K63)+IF(L63="",0,L63))</x:f>
      </x:c>
      <x:c r="N63" s="22"/>
      <x:c r="O63" s="22" t="str">
        <x:f>IF(OR(N63="",M63=""),"",N63-M63)</x:f>
      </x:c>
      <x:c r="P63" s="24" t="str">
        <x:f>IFERROR(O63/N63,"")</x:f>
      </x:c>
      <x:c r="Q63" s="13"/>
      <x:c r="R63" s="13"/>
      <x:c r="S63" s="13" t="str">
        <x:f>IF(AND(D63="Можно заказывать",R63="Да",O63&gt;0),"GO","STOP")</x:f>
        <x:v>STOP</x:v>
      </x:c>
      <x:c r="T63" s="13"/>
    </x:row>
    <x:row r="64">
      <x:c r="A64" s="13"/>
      <x:c r="B64" s="13"/>
      <x:c r="C64" s="13"/>
      <x:c r="D64" s="13"/>
      <x:c r="E64" s="13"/>
      <x:c r="F64" s="13"/>
      <x:c r="G64" s="13"/>
      <x:c r="H64" s="22"/>
      <x:c r="I64" s="22"/>
      <x:c r="J64" s="22" t="str">
        <x:f>IF(OR(H64="",I64=""),"",H64*I64)</x:f>
      </x:c>
      <x:c r="K64" s="22"/>
      <x:c r="L64" s="22"/>
      <x:c r="M64" s="22" t="str">
        <x:f>IF(J64="","",J64+IF(K64="",0,K64)+IF(L64="",0,L64))</x:f>
      </x:c>
      <x:c r="N64" s="22"/>
      <x:c r="O64" s="22" t="str">
        <x:f>IF(OR(N64="",M64=""),"",N64-M64)</x:f>
      </x:c>
      <x:c r="P64" s="24" t="str">
        <x:f>IFERROR(O64/N64,"")</x:f>
      </x:c>
      <x:c r="Q64" s="13"/>
      <x:c r="R64" s="13"/>
      <x:c r="S64" s="13" t="str">
        <x:f>IF(AND(D64="Можно заказывать",R64="Да",O64&gt;0),"GO","STOP")</x:f>
        <x:v>STOP</x:v>
      </x:c>
      <x:c r="T64" s="13"/>
    </x:row>
    <x:row r="65">
      <x:c r="A65" s="13"/>
      <x:c r="B65" s="13"/>
      <x:c r="C65" s="13"/>
      <x:c r="D65" s="13"/>
      <x:c r="E65" s="13"/>
      <x:c r="F65" s="13"/>
      <x:c r="G65" s="13"/>
      <x:c r="H65" s="22"/>
      <x:c r="I65" s="22"/>
      <x:c r="J65" s="22" t="str">
        <x:f>IF(OR(H65="",I65=""),"",H65*I65)</x:f>
      </x:c>
      <x:c r="K65" s="22"/>
      <x:c r="L65" s="22"/>
      <x:c r="M65" s="22" t="str">
        <x:f>IF(J65="","",J65+IF(K65="",0,K65)+IF(L65="",0,L65))</x:f>
      </x:c>
      <x:c r="N65" s="22"/>
      <x:c r="O65" s="22" t="str">
        <x:f>IF(OR(N65="",M65=""),"",N65-M65)</x:f>
      </x:c>
      <x:c r="P65" s="24" t="str">
        <x:f>IFERROR(O65/N65,"")</x:f>
      </x:c>
      <x:c r="Q65" s="13"/>
      <x:c r="R65" s="13"/>
      <x:c r="S65" s="13" t="str">
        <x:f>IF(AND(D65="Можно заказывать",R65="Да",O65&gt;0),"GO","STOP")</x:f>
        <x:v>STOP</x:v>
      </x:c>
      <x:c r="T65" s="13"/>
    </x:row>
    <x:row r="66">
      <x:c r="A66" s="13"/>
      <x:c r="B66" s="13"/>
      <x:c r="C66" s="13"/>
      <x:c r="D66" s="13"/>
      <x:c r="E66" s="13"/>
      <x:c r="F66" s="13"/>
      <x:c r="G66" s="13"/>
      <x:c r="H66" s="22"/>
      <x:c r="I66" s="22"/>
      <x:c r="J66" s="22" t="str">
        <x:f>IF(OR(H66="",I66=""),"",H66*I66)</x:f>
      </x:c>
      <x:c r="K66" s="22"/>
      <x:c r="L66" s="22"/>
      <x:c r="M66" s="22" t="str">
        <x:f>IF(J66="","",J66+IF(K66="",0,K66)+IF(L66="",0,L66))</x:f>
      </x:c>
      <x:c r="N66" s="22"/>
      <x:c r="O66" s="22" t="str">
        <x:f>IF(OR(N66="",M66=""),"",N66-M66)</x:f>
      </x:c>
      <x:c r="P66" s="24" t="str">
        <x:f>IFERROR(O66/N66,"")</x:f>
      </x:c>
      <x:c r="Q66" s="13"/>
      <x:c r="R66" s="13"/>
      <x:c r="S66" s="13" t="str">
        <x:f>IF(AND(D66="Можно заказывать",R66="Да",O66&gt;0),"GO","STOP")</x:f>
        <x:v>STOP</x:v>
      </x:c>
      <x:c r="T66" s="13"/>
    </x:row>
    <x:row r="67">
      <x:c r="A67" s="13"/>
      <x:c r="B67" s="13"/>
      <x:c r="C67" s="13"/>
      <x:c r="D67" s="13"/>
      <x:c r="E67" s="13"/>
      <x:c r="F67" s="13"/>
      <x:c r="G67" s="13"/>
      <x:c r="H67" s="22"/>
      <x:c r="I67" s="22"/>
      <x:c r="J67" s="22" t="str">
        <x:f>IF(OR(H67="",I67=""),"",H67*I67)</x:f>
      </x:c>
      <x:c r="K67" s="22"/>
      <x:c r="L67" s="22"/>
      <x:c r="M67" s="22" t="str">
        <x:f>IF(J67="","",J67+IF(K67="",0,K67)+IF(L67="",0,L67))</x:f>
      </x:c>
      <x:c r="N67" s="22"/>
      <x:c r="O67" s="22" t="str">
        <x:f>IF(OR(N67="",M67=""),"",N67-M67)</x:f>
      </x:c>
      <x:c r="P67" s="24" t="str">
        <x:f>IFERROR(O67/N67,"")</x:f>
      </x:c>
      <x:c r="Q67" s="13"/>
      <x:c r="R67" s="13"/>
      <x:c r="S67" s="13" t="str">
        <x:f>IF(AND(D67="Можно заказывать",R67="Да",O67&gt;0),"GO","STOP")</x:f>
        <x:v>STOP</x:v>
      </x:c>
      <x:c r="T67" s="13"/>
    </x:row>
    <x:row r="68">
      <x:c r="A68" s="13"/>
      <x:c r="B68" s="13"/>
      <x:c r="C68" s="13"/>
      <x:c r="D68" s="13"/>
      <x:c r="E68" s="13"/>
      <x:c r="F68" s="13"/>
      <x:c r="G68" s="13"/>
      <x:c r="H68" s="22"/>
      <x:c r="I68" s="22"/>
      <x:c r="J68" s="22" t="str">
        <x:f>IF(OR(H68="",I68=""),"",H68*I68)</x:f>
      </x:c>
      <x:c r="K68" s="22"/>
      <x:c r="L68" s="22"/>
      <x:c r="M68" s="22" t="str">
        <x:f>IF(J68="","",J68+IF(K68="",0,K68)+IF(L68="",0,L68))</x:f>
      </x:c>
      <x:c r="N68" s="22"/>
      <x:c r="O68" s="22" t="str">
        <x:f>IF(OR(N68="",M68=""),"",N68-M68)</x:f>
      </x:c>
      <x:c r="P68" s="24" t="str">
        <x:f>IFERROR(O68/N68,"")</x:f>
      </x:c>
      <x:c r="Q68" s="13"/>
      <x:c r="R68" s="13"/>
      <x:c r="S68" s="13" t="str">
        <x:f>IF(AND(D68="Можно заказывать",R68="Да",O68&gt;0),"GO","STOP")</x:f>
        <x:v>STOP</x:v>
      </x:c>
      <x:c r="T68" s="13"/>
    </x:row>
    <x:row r="69">
      <x:c r="A69" s="13"/>
      <x:c r="B69" s="13"/>
      <x:c r="C69" s="13"/>
      <x:c r="D69" s="13"/>
      <x:c r="E69" s="13"/>
      <x:c r="F69" s="13"/>
      <x:c r="G69" s="13"/>
      <x:c r="H69" s="22"/>
      <x:c r="I69" s="22"/>
      <x:c r="J69" s="22" t="str">
        <x:f>IF(OR(H69="",I69=""),"",H69*I69)</x:f>
      </x:c>
      <x:c r="K69" s="22"/>
      <x:c r="L69" s="22"/>
      <x:c r="M69" s="22" t="str">
        <x:f>IF(J69="","",J69+IF(K69="",0,K69)+IF(L69="",0,L69))</x:f>
      </x:c>
      <x:c r="N69" s="22"/>
      <x:c r="O69" s="22" t="str">
        <x:f>IF(OR(N69="",M69=""),"",N69-M69)</x:f>
      </x:c>
      <x:c r="P69" s="24" t="str">
        <x:f>IFERROR(O69/N69,"")</x:f>
      </x:c>
      <x:c r="Q69" s="13"/>
      <x:c r="R69" s="13"/>
      <x:c r="S69" s="13" t="str">
        <x:f>IF(AND(D69="Можно заказывать",R69="Да",O69&gt;0),"GO","STOP")</x:f>
        <x:v>STOP</x:v>
      </x:c>
      <x:c r="T69" s="13"/>
    </x:row>
    <x:row r="70">
      <x:c r="A70" s="13"/>
      <x:c r="B70" s="13"/>
      <x:c r="C70" s="13"/>
      <x:c r="D70" s="13"/>
      <x:c r="E70" s="13"/>
      <x:c r="F70" s="13"/>
      <x:c r="G70" s="13"/>
      <x:c r="H70" s="22"/>
      <x:c r="I70" s="22"/>
      <x:c r="J70" s="22" t="str">
        <x:f>IF(OR(H70="",I70=""),"",H70*I70)</x:f>
      </x:c>
      <x:c r="K70" s="22"/>
      <x:c r="L70" s="22"/>
      <x:c r="M70" s="22" t="str">
        <x:f>IF(J70="","",J70+IF(K70="",0,K70)+IF(L70="",0,L70))</x:f>
      </x:c>
      <x:c r="N70" s="22"/>
      <x:c r="O70" s="22" t="str">
        <x:f>IF(OR(N70="",M70=""),"",N70-M70)</x:f>
      </x:c>
      <x:c r="P70" s="24" t="str">
        <x:f>IFERROR(O70/N70,"")</x:f>
      </x:c>
      <x:c r="Q70" s="13"/>
      <x:c r="R70" s="13"/>
      <x:c r="S70" s="13" t="str">
        <x:f>IF(AND(D70="Можно заказывать",R70="Да",O70&gt;0),"GO","STOP")</x:f>
        <x:v>STOP</x:v>
      </x:c>
      <x:c r="T70" s="13"/>
    </x:row>
    <x:row r="71">
      <x:c r="A71" s="13"/>
      <x:c r="B71" s="13"/>
      <x:c r="C71" s="13"/>
      <x:c r="D71" s="13"/>
      <x:c r="E71" s="13"/>
      <x:c r="F71" s="13"/>
      <x:c r="G71" s="13"/>
      <x:c r="H71" s="22"/>
      <x:c r="I71" s="22"/>
      <x:c r="J71" s="22" t="str">
        <x:f>IF(OR(H71="",I71=""),"",H71*I71)</x:f>
      </x:c>
      <x:c r="K71" s="22"/>
      <x:c r="L71" s="22"/>
      <x:c r="M71" s="22" t="str">
        <x:f>IF(J71="","",J71+IF(K71="",0,K71)+IF(L71="",0,L71))</x:f>
      </x:c>
      <x:c r="N71" s="22"/>
      <x:c r="O71" s="22" t="str">
        <x:f>IF(OR(N71="",M71=""),"",N71-M71)</x:f>
      </x:c>
      <x:c r="P71" s="24" t="str">
        <x:f>IFERROR(O71/N71,"")</x:f>
      </x:c>
      <x:c r="Q71" s="13"/>
      <x:c r="R71" s="13"/>
      <x:c r="S71" s="13" t="str">
        <x:f>IF(AND(D71="Можно заказывать",R71="Да",O71&gt;0),"GO","STOP")</x:f>
        <x:v>STOP</x:v>
      </x:c>
      <x:c r="T71" s="13"/>
    </x:row>
    <x:row r="72">
      <x:c r="A72" s="13"/>
      <x:c r="B72" s="13"/>
      <x:c r="C72" s="13"/>
      <x:c r="D72" s="13"/>
      <x:c r="E72" s="13"/>
      <x:c r="F72" s="13"/>
      <x:c r="G72" s="13"/>
      <x:c r="H72" s="22"/>
      <x:c r="I72" s="22"/>
      <x:c r="J72" s="22" t="str">
        <x:f>IF(OR(H72="",I72=""),"",H72*I72)</x:f>
      </x:c>
      <x:c r="K72" s="22"/>
      <x:c r="L72" s="22"/>
      <x:c r="M72" s="22" t="str">
        <x:f>IF(J72="","",J72+IF(K72="",0,K72)+IF(L72="",0,L72))</x:f>
      </x:c>
      <x:c r="N72" s="22"/>
      <x:c r="O72" s="22" t="str">
        <x:f>IF(OR(N72="",M72=""),"",N72-M72)</x:f>
      </x:c>
      <x:c r="P72" s="24" t="str">
        <x:f>IFERROR(O72/N72,"")</x:f>
      </x:c>
      <x:c r="Q72" s="13"/>
      <x:c r="R72" s="13"/>
      <x:c r="S72" s="13" t="str">
        <x:f>IF(AND(D72="Можно заказывать",R72="Да",O72&gt;0),"GO","STOP")</x:f>
        <x:v>STOP</x:v>
      </x:c>
      <x:c r="T72" s="13"/>
    </x:row>
    <x:row r="73">
      <x:c r="A73" s="13"/>
      <x:c r="B73" s="13"/>
      <x:c r="C73" s="13"/>
      <x:c r="D73" s="13"/>
      <x:c r="E73" s="13"/>
      <x:c r="F73" s="13"/>
      <x:c r="G73" s="13"/>
      <x:c r="H73" s="22"/>
      <x:c r="I73" s="22"/>
      <x:c r="J73" s="22" t="str">
        <x:f>IF(OR(H73="",I73=""),"",H73*I73)</x:f>
      </x:c>
      <x:c r="K73" s="22"/>
      <x:c r="L73" s="22"/>
      <x:c r="M73" s="22" t="str">
        <x:f>IF(J73="","",J73+IF(K73="",0,K73)+IF(L73="",0,L73))</x:f>
      </x:c>
      <x:c r="N73" s="22"/>
      <x:c r="O73" s="22" t="str">
        <x:f>IF(OR(N73="",M73=""),"",N73-M73)</x:f>
      </x:c>
      <x:c r="P73" s="24" t="str">
        <x:f>IFERROR(O73/N73,"")</x:f>
      </x:c>
      <x:c r="Q73" s="13"/>
      <x:c r="R73" s="13"/>
      <x:c r="S73" s="13" t="str">
        <x:f>IF(AND(D73="Можно заказывать",R73="Да",O73&gt;0),"GO","STOP")</x:f>
        <x:v>STOP</x:v>
      </x:c>
      <x:c r="T73" s="13"/>
    </x:row>
    <x:row r="74">
      <x:c r="A74" s="13"/>
      <x:c r="B74" s="13"/>
      <x:c r="C74" s="13"/>
      <x:c r="D74" s="13"/>
      <x:c r="E74" s="13"/>
      <x:c r="F74" s="13"/>
      <x:c r="G74" s="13"/>
      <x:c r="H74" s="22"/>
      <x:c r="I74" s="22"/>
      <x:c r="J74" s="22" t="str">
        <x:f>IF(OR(H74="",I74=""),"",H74*I74)</x:f>
      </x:c>
      <x:c r="K74" s="22"/>
      <x:c r="L74" s="22"/>
      <x:c r="M74" s="22" t="str">
        <x:f>IF(J74="","",J74+IF(K74="",0,K74)+IF(L74="",0,L74))</x:f>
      </x:c>
      <x:c r="N74" s="22"/>
      <x:c r="O74" s="22" t="str">
        <x:f>IF(OR(N74="",M74=""),"",N74-M74)</x:f>
      </x:c>
      <x:c r="P74" s="24" t="str">
        <x:f>IFERROR(O74/N74,"")</x:f>
      </x:c>
      <x:c r="Q74" s="13"/>
      <x:c r="R74" s="13"/>
      <x:c r="S74" s="13" t="str">
        <x:f>IF(AND(D74="Можно заказывать",R74="Да",O74&gt;0),"GO","STOP")</x:f>
        <x:v>STOP</x:v>
      </x:c>
      <x:c r="T74" s="13"/>
    </x:row>
    <x:row r="75">
      <x:c r="A75" s="13"/>
      <x:c r="B75" s="13"/>
      <x:c r="C75" s="13"/>
      <x:c r="D75" s="13"/>
      <x:c r="E75" s="13"/>
      <x:c r="F75" s="13"/>
      <x:c r="G75" s="13"/>
      <x:c r="H75" s="22"/>
      <x:c r="I75" s="22"/>
      <x:c r="J75" s="22" t="str">
        <x:f>IF(OR(H75="",I75=""),"",H75*I75)</x:f>
      </x:c>
      <x:c r="K75" s="22"/>
      <x:c r="L75" s="22"/>
      <x:c r="M75" s="22" t="str">
        <x:f>IF(J75="","",J75+IF(K75="",0,K75)+IF(L75="",0,L75))</x:f>
      </x:c>
      <x:c r="N75" s="22"/>
      <x:c r="O75" s="22" t="str">
        <x:f>IF(OR(N75="",M75=""),"",N75-M75)</x:f>
      </x:c>
      <x:c r="P75" s="24" t="str">
        <x:f>IFERROR(O75/N75,"")</x:f>
      </x:c>
      <x:c r="Q75" s="13"/>
      <x:c r="R75" s="13"/>
      <x:c r="S75" s="13" t="str">
        <x:f>IF(AND(D75="Можно заказывать",R75="Да",O75&gt;0),"GO","STOP")</x:f>
        <x:v>STOP</x:v>
      </x:c>
      <x:c r="T75" s="13"/>
    </x:row>
    <x:row r="76">
      <x:c r="A76" s="13"/>
      <x:c r="B76" s="13"/>
      <x:c r="C76" s="13"/>
      <x:c r="D76" s="13"/>
      <x:c r="E76" s="13"/>
      <x:c r="F76" s="13"/>
      <x:c r="G76" s="13"/>
      <x:c r="H76" s="22"/>
      <x:c r="I76" s="22"/>
      <x:c r="J76" s="22" t="str">
        <x:f>IF(OR(H76="",I76=""),"",H76*I76)</x:f>
      </x:c>
      <x:c r="K76" s="22"/>
      <x:c r="L76" s="22"/>
      <x:c r="M76" s="22" t="str">
        <x:f>IF(J76="","",J76+IF(K76="",0,K76)+IF(L76="",0,L76))</x:f>
      </x:c>
      <x:c r="N76" s="22"/>
      <x:c r="O76" s="22" t="str">
        <x:f>IF(OR(N76="",M76=""),"",N76-M76)</x:f>
      </x:c>
      <x:c r="P76" s="24" t="str">
        <x:f>IFERROR(O76/N76,"")</x:f>
      </x:c>
      <x:c r="Q76" s="13"/>
      <x:c r="R76" s="13"/>
      <x:c r="S76" s="13" t="str">
        <x:f>IF(AND(D76="Можно заказывать",R76="Да",O76&gt;0),"GO","STOP")</x:f>
        <x:v>STOP</x:v>
      </x:c>
      <x:c r="T76" s="13"/>
    </x:row>
    <x:row r="77">
      <x:c r="A77" s="13"/>
      <x:c r="B77" s="13"/>
      <x:c r="C77" s="13"/>
      <x:c r="D77" s="13"/>
      <x:c r="E77" s="13"/>
      <x:c r="F77" s="13"/>
      <x:c r="G77" s="13"/>
      <x:c r="H77" s="22"/>
      <x:c r="I77" s="22"/>
      <x:c r="J77" s="22" t="str">
        <x:f>IF(OR(H77="",I77=""),"",H77*I77)</x:f>
      </x:c>
      <x:c r="K77" s="22"/>
      <x:c r="L77" s="22"/>
      <x:c r="M77" s="22" t="str">
        <x:f>IF(J77="","",J77+IF(K77="",0,K77)+IF(L77="",0,L77))</x:f>
      </x:c>
      <x:c r="N77" s="22"/>
      <x:c r="O77" s="22" t="str">
        <x:f>IF(OR(N77="",M77=""),"",N77-M77)</x:f>
      </x:c>
      <x:c r="P77" s="24" t="str">
        <x:f>IFERROR(O77/N77,"")</x:f>
      </x:c>
      <x:c r="Q77" s="13"/>
      <x:c r="R77" s="13"/>
      <x:c r="S77" s="13" t="str">
        <x:f>IF(AND(D77="Можно заказывать",R77="Да",O77&gt;0),"GO","STOP")</x:f>
        <x:v>STOP</x:v>
      </x:c>
      <x:c r="T77" s="13"/>
    </x:row>
    <x:row r="78">
      <x:c r="A78" s="13"/>
      <x:c r="B78" s="13"/>
      <x:c r="C78" s="13"/>
      <x:c r="D78" s="13"/>
      <x:c r="E78" s="13"/>
      <x:c r="F78" s="13"/>
      <x:c r="G78" s="13"/>
      <x:c r="H78" s="22"/>
      <x:c r="I78" s="22"/>
      <x:c r="J78" s="22" t="str">
        <x:f>IF(OR(H78="",I78=""),"",H78*I78)</x:f>
      </x:c>
      <x:c r="K78" s="22"/>
      <x:c r="L78" s="22"/>
      <x:c r="M78" s="22" t="str">
        <x:f>IF(J78="","",J78+IF(K78="",0,K78)+IF(L78="",0,L78))</x:f>
      </x:c>
      <x:c r="N78" s="22"/>
      <x:c r="O78" s="22" t="str">
        <x:f>IF(OR(N78="",M78=""),"",N78-M78)</x:f>
      </x:c>
      <x:c r="P78" s="24" t="str">
        <x:f>IFERROR(O78/N78,"")</x:f>
      </x:c>
      <x:c r="Q78" s="13"/>
      <x:c r="R78" s="13"/>
      <x:c r="S78" s="13" t="str">
        <x:f>IF(AND(D78="Можно заказывать",R78="Да",O78&gt;0),"GO","STOP")</x:f>
        <x:v>STOP</x:v>
      </x:c>
      <x:c r="T78" s="13"/>
    </x:row>
    <x:row r="79">
      <x:c r="A79" s="13"/>
      <x:c r="B79" s="13"/>
      <x:c r="C79" s="13"/>
      <x:c r="D79" s="13"/>
      <x:c r="E79" s="13"/>
      <x:c r="F79" s="13"/>
      <x:c r="G79" s="13"/>
      <x:c r="H79" s="22"/>
      <x:c r="I79" s="22"/>
      <x:c r="J79" s="22" t="str">
        <x:f>IF(OR(H79="",I79=""),"",H79*I79)</x:f>
      </x:c>
      <x:c r="K79" s="22"/>
      <x:c r="L79" s="22"/>
      <x:c r="M79" s="22" t="str">
        <x:f>IF(J79="","",J79+IF(K79="",0,K79)+IF(L79="",0,L79))</x:f>
      </x:c>
      <x:c r="N79" s="22"/>
      <x:c r="O79" s="22" t="str">
        <x:f>IF(OR(N79="",M79=""),"",N79-M79)</x:f>
      </x:c>
      <x:c r="P79" s="24" t="str">
        <x:f>IFERROR(O79/N79,"")</x:f>
      </x:c>
      <x:c r="Q79" s="13"/>
      <x:c r="R79" s="13"/>
      <x:c r="S79" s="13" t="str">
        <x:f>IF(AND(D79="Можно заказывать",R79="Да",O79&gt;0),"GO","STOP")</x:f>
        <x:v>STOP</x:v>
      </x:c>
      <x:c r="T79" s="13"/>
    </x:row>
    <x:row r="80">
      <x:c r="A80" s="13"/>
      <x:c r="B80" s="13"/>
      <x:c r="C80" s="13"/>
      <x:c r="D80" s="13"/>
      <x:c r="E80" s="13"/>
      <x:c r="F80" s="13"/>
      <x:c r="G80" s="13"/>
      <x:c r="H80" s="22"/>
      <x:c r="I80" s="22"/>
      <x:c r="J80" s="22" t="str">
        <x:f>IF(OR(H80="",I80=""),"",H80*I80)</x:f>
      </x:c>
      <x:c r="K80" s="22"/>
      <x:c r="L80" s="22"/>
      <x:c r="M80" s="22" t="str">
        <x:f>IF(J80="","",J80+IF(K80="",0,K80)+IF(L80="",0,L80))</x:f>
      </x:c>
      <x:c r="N80" s="22"/>
      <x:c r="O80" s="22" t="str">
        <x:f>IF(OR(N80="",M80=""),"",N80-M80)</x:f>
      </x:c>
      <x:c r="P80" s="24" t="str">
        <x:f>IFERROR(O80/N80,"")</x:f>
      </x:c>
      <x:c r="Q80" s="13"/>
      <x:c r="R80" s="13"/>
      <x:c r="S80" s="13" t="str">
        <x:f>IF(AND(D80="Можно заказывать",R80="Да",O80&gt;0),"GO","STOP")</x:f>
        <x:v>STOP</x:v>
      </x:c>
      <x:c r="T80" s="13"/>
    </x:row>
    <x:row r="81">
      <x:c r="A81" s="13"/>
      <x:c r="B81" s="13"/>
      <x:c r="C81" s="13"/>
      <x:c r="D81" s="13"/>
      <x:c r="E81" s="13"/>
      <x:c r="F81" s="13"/>
      <x:c r="G81" s="13"/>
      <x:c r="H81" s="22"/>
      <x:c r="I81" s="22"/>
      <x:c r="J81" s="22" t="str">
        <x:f>IF(OR(H81="",I81=""),"",H81*I81)</x:f>
      </x:c>
      <x:c r="K81" s="22"/>
      <x:c r="L81" s="22"/>
      <x:c r="M81" s="22" t="str">
        <x:f>IF(J81="","",J81+IF(K81="",0,K81)+IF(L81="",0,L81))</x:f>
      </x:c>
      <x:c r="N81" s="22"/>
      <x:c r="O81" s="22" t="str">
        <x:f>IF(OR(N81="",M81=""),"",N81-M81)</x:f>
      </x:c>
      <x:c r="P81" s="24" t="str">
        <x:f>IFERROR(O81/N81,"")</x:f>
      </x:c>
      <x:c r="Q81" s="13"/>
      <x:c r="R81" s="13"/>
      <x:c r="S81" s="13" t="str">
        <x:f>IF(AND(D81="Можно заказывать",R81="Да",O81&gt;0),"GO","STOP")</x:f>
        <x:v>STOP</x:v>
      </x:c>
      <x:c r="T81" s="13"/>
    </x:row>
    <x:row r="82">
      <x:c r="A82" s="13"/>
      <x:c r="B82" s="13"/>
      <x:c r="C82" s="13"/>
      <x:c r="D82" s="13"/>
      <x:c r="E82" s="13"/>
      <x:c r="F82" s="13"/>
      <x:c r="G82" s="13"/>
      <x:c r="H82" s="22"/>
      <x:c r="I82" s="22"/>
      <x:c r="J82" s="22" t="str">
        <x:f>IF(OR(H82="",I82=""),"",H82*I82)</x:f>
      </x:c>
      <x:c r="K82" s="22"/>
      <x:c r="L82" s="22"/>
      <x:c r="M82" s="22" t="str">
        <x:f>IF(J82="","",J82+IF(K82="",0,K82)+IF(L82="",0,L82))</x:f>
      </x:c>
      <x:c r="N82" s="22"/>
      <x:c r="O82" s="22" t="str">
        <x:f>IF(OR(N82="",M82=""),"",N82-M82)</x:f>
      </x:c>
      <x:c r="P82" s="24" t="str">
        <x:f>IFERROR(O82/N82,"")</x:f>
      </x:c>
      <x:c r="Q82" s="13"/>
      <x:c r="R82" s="13"/>
      <x:c r="S82" s="13" t="str">
        <x:f>IF(AND(D82="Можно заказывать",R82="Да",O82&gt;0),"GO","STOP")</x:f>
        <x:v>STOP</x:v>
      </x:c>
      <x:c r="T82" s="13"/>
    </x:row>
    <x:row r="83">
      <x:c r="A83" s="13"/>
      <x:c r="B83" s="13"/>
      <x:c r="C83" s="13"/>
      <x:c r="D83" s="13"/>
      <x:c r="E83" s="13"/>
      <x:c r="F83" s="13"/>
      <x:c r="G83" s="13"/>
      <x:c r="H83" s="22"/>
      <x:c r="I83" s="22"/>
      <x:c r="J83" s="22" t="str">
        <x:f>IF(OR(H83="",I83=""),"",H83*I83)</x:f>
      </x:c>
      <x:c r="K83" s="22"/>
      <x:c r="L83" s="22"/>
      <x:c r="M83" s="22" t="str">
        <x:f>IF(J83="","",J83+IF(K83="",0,K83)+IF(L83="",0,L83))</x:f>
      </x:c>
      <x:c r="N83" s="22"/>
      <x:c r="O83" s="22" t="str">
        <x:f>IF(OR(N83="",M83=""),"",N83-M83)</x:f>
      </x:c>
      <x:c r="P83" s="24" t="str">
        <x:f>IFERROR(O83/N83,"")</x:f>
      </x:c>
      <x:c r="Q83" s="13"/>
      <x:c r="R83" s="13"/>
      <x:c r="S83" s="13" t="str">
        <x:f>IF(AND(D83="Можно заказывать",R83="Да",O83&gt;0),"GO","STOP")</x:f>
        <x:v>STOP</x:v>
      </x:c>
      <x:c r="T83" s="13"/>
    </x:row>
    <x:row r="84">
      <x:c r="A84" s="13"/>
      <x:c r="B84" s="13"/>
      <x:c r="C84" s="13"/>
      <x:c r="D84" s="13"/>
      <x:c r="E84" s="13"/>
      <x:c r="F84" s="13"/>
      <x:c r="G84" s="13"/>
      <x:c r="H84" s="22"/>
      <x:c r="I84" s="22"/>
      <x:c r="J84" s="22" t="str">
        <x:f>IF(OR(H84="",I84=""),"",H84*I84)</x:f>
      </x:c>
      <x:c r="K84" s="22"/>
      <x:c r="L84" s="22"/>
      <x:c r="M84" s="22" t="str">
        <x:f>IF(J84="","",J84+IF(K84="",0,K84)+IF(L84="",0,L84))</x:f>
      </x:c>
      <x:c r="N84" s="22"/>
      <x:c r="O84" s="22" t="str">
        <x:f>IF(OR(N84="",M84=""),"",N84-M84)</x:f>
      </x:c>
      <x:c r="P84" s="24" t="str">
        <x:f>IFERROR(O84/N84,"")</x:f>
      </x:c>
      <x:c r="Q84" s="13"/>
      <x:c r="R84" s="13"/>
      <x:c r="S84" s="13" t="str">
        <x:f>IF(AND(D84="Можно заказывать",R84="Да",O84&gt;0),"GO","STOP")</x:f>
        <x:v>STOP</x:v>
      </x:c>
      <x:c r="T84" s="13"/>
    </x:row>
    <x:row r="85">
      <x:c r="A85" s="13"/>
      <x:c r="B85" s="13"/>
      <x:c r="C85" s="13"/>
      <x:c r="D85" s="13"/>
      <x:c r="E85" s="13"/>
      <x:c r="F85" s="13"/>
      <x:c r="G85" s="13"/>
      <x:c r="H85" s="22"/>
      <x:c r="I85" s="22"/>
      <x:c r="J85" s="22" t="str">
        <x:f>IF(OR(H85="",I85=""),"",H85*I85)</x:f>
      </x:c>
      <x:c r="K85" s="22"/>
      <x:c r="L85" s="22"/>
      <x:c r="M85" s="22" t="str">
        <x:f>IF(J85="","",J85+IF(K85="",0,K85)+IF(L85="",0,L85))</x:f>
      </x:c>
      <x:c r="N85" s="22"/>
      <x:c r="O85" s="22" t="str">
        <x:f>IF(OR(N85="",M85=""),"",N85-M85)</x:f>
      </x:c>
      <x:c r="P85" s="24" t="str">
        <x:f>IFERROR(O85/N85,"")</x:f>
      </x:c>
      <x:c r="Q85" s="13"/>
      <x:c r="R85" s="13"/>
      <x:c r="S85" s="13" t="str">
        <x:f>IF(AND(D85="Можно заказывать",R85="Да",O85&gt;0),"GO","STOP")</x:f>
        <x:v>STOP</x:v>
      </x:c>
      <x:c r="T85" s="13"/>
    </x:row>
    <x:row r="86">
      <x:c r="A86" s="13"/>
      <x:c r="B86" s="13"/>
      <x:c r="C86" s="13"/>
      <x:c r="D86" s="13"/>
      <x:c r="E86" s="13"/>
      <x:c r="F86" s="13"/>
      <x:c r="G86" s="13"/>
      <x:c r="H86" s="22"/>
      <x:c r="I86" s="22"/>
      <x:c r="J86" s="22" t="str">
        <x:f>IF(OR(H86="",I86=""),"",H86*I86)</x:f>
      </x:c>
      <x:c r="K86" s="22"/>
      <x:c r="L86" s="22"/>
      <x:c r="M86" s="22" t="str">
        <x:f>IF(J86="","",J86+IF(K86="",0,K86)+IF(L86="",0,L86))</x:f>
      </x:c>
      <x:c r="N86" s="22"/>
      <x:c r="O86" s="22" t="str">
        <x:f>IF(OR(N86="",M86=""),"",N86-M86)</x:f>
      </x:c>
      <x:c r="P86" s="24" t="str">
        <x:f>IFERROR(O86/N86,"")</x:f>
      </x:c>
      <x:c r="Q86" s="13"/>
      <x:c r="R86" s="13"/>
      <x:c r="S86" s="13" t="str">
        <x:f>IF(AND(D86="Можно заказывать",R86="Да",O86&gt;0),"GO","STOP")</x:f>
        <x:v>STOP</x:v>
      </x:c>
      <x:c r="T86" s="13"/>
    </x:row>
    <x:row r="87">
      <x:c r="A87" s="13"/>
      <x:c r="B87" s="13"/>
      <x:c r="C87" s="13"/>
      <x:c r="D87" s="13"/>
      <x:c r="E87" s="13"/>
      <x:c r="F87" s="13"/>
      <x:c r="G87" s="13"/>
      <x:c r="H87" s="22"/>
      <x:c r="I87" s="22"/>
      <x:c r="J87" s="22" t="str">
        <x:f>IF(OR(H87="",I87=""),"",H87*I87)</x:f>
      </x:c>
      <x:c r="K87" s="22"/>
      <x:c r="L87" s="22"/>
      <x:c r="M87" s="22" t="str">
        <x:f>IF(J87="","",J87+IF(K87="",0,K87)+IF(L87="",0,L87))</x:f>
      </x:c>
      <x:c r="N87" s="22"/>
      <x:c r="O87" s="22" t="str">
        <x:f>IF(OR(N87="",M87=""),"",N87-M87)</x:f>
      </x:c>
      <x:c r="P87" s="24" t="str">
        <x:f>IFERROR(O87/N87,"")</x:f>
      </x:c>
      <x:c r="Q87" s="13"/>
      <x:c r="R87" s="13"/>
      <x:c r="S87" s="13" t="str">
        <x:f>IF(AND(D87="Можно заказывать",R87="Да",O87&gt;0),"GO","STOP")</x:f>
        <x:v>STOP</x:v>
      </x:c>
      <x:c r="T87" s="13"/>
    </x:row>
    <x:row r="88">
      <x:c r="A88" s="13"/>
      <x:c r="B88" s="13"/>
      <x:c r="C88" s="13"/>
      <x:c r="D88" s="13"/>
      <x:c r="E88" s="13"/>
      <x:c r="F88" s="13"/>
      <x:c r="G88" s="13"/>
      <x:c r="H88" s="22"/>
      <x:c r="I88" s="22"/>
      <x:c r="J88" s="22" t="str">
        <x:f>IF(OR(H88="",I88=""),"",H88*I88)</x:f>
      </x:c>
      <x:c r="K88" s="22"/>
      <x:c r="L88" s="22"/>
      <x:c r="M88" s="22" t="str">
        <x:f>IF(J88="","",J88+IF(K88="",0,K88)+IF(L88="",0,L88))</x:f>
      </x:c>
      <x:c r="N88" s="22"/>
      <x:c r="O88" s="22" t="str">
        <x:f>IF(OR(N88="",M88=""),"",N88-M88)</x:f>
      </x:c>
      <x:c r="P88" s="24" t="str">
        <x:f>IFERROR(O88/N88,"")</x:f>
      </x:c>
      <x:c r="Q88" s="13"/>
      <x:c r="R88" s="13"/>
      <x:c r="S88" s="13" t="str">
        <x:f>IF(AND(D88="Можно заказывать",R88="Да",O88&gt;0),"GO","STOP")</x:f>
        <x:v>STOP</x:v>
      </x:c>
      <x:c r="T88" s="13"/>
    </x:row>
    <x:row r="89">
      <x:c r="A89" s="13"/>
      <x:c r="B89" s="13"/>
      <x:c r="C89" s="13"/>
      <x:c r="D89" s="13"/>
      <x:c r="E89" s="13"/>
      <x:c r="F89" s="13"/>
      <x:c r="G89" s="13"/>
      <x:c r="H89" s="22"/>
      <x:c r="I89" s="22"/>
      <x:c r="J89" s="22" t="str">
        <x:f>IF(OR(H89="",I89=""),"",H89*I89)</x:f>
      </x:c>
      <x:c r="K89" s="22"/>
      <x:c r="L89" s="22"/>
      <x:c r="M89" s="22" t="str">
        <x:f>IF(J89="","",J89+IF(K89="",0,K89)+IF(L89="",0,L89))</x:f>
      </x:c>
      <x:c r="N89" s="22"/>
      <x:c r="O89" s="22" t="str">
        <x:f>IF(OR(N89="",M89=""),"",N89-M89)</x:f>
      </x:c>
      <x:c r="P89" s="24" t="str">
        <x:f>IFERROR(O89/N89,"")</x:f>
      </x:c>
      <x:c r="Q89" s="13"/>
      <x:c r="R89" s="13"/>
      <x:c r="S89" s="13" t="str">
        <x:f>IF(AND(D89="Можно заказывать",R89="Да",O89&gt;0),"GO","STOP")</x:f>
        <x:v>STOP</x:v>
      </x:c>
      <x:c r="T89" s="13"/>
    </x:row>
    <x:row r="90">
      <x:c r="A90" s="13"/>
      <x:c r="B90" s="13"/>
      <x:c r="C90" s="13"/>
      <x:c r="D90" s="13"/>
      <x:c r="E90" s="13"/>
      <x:c r="F90" s="13"/>
      <x:c r="G90" s="13"/>
      <x:c r="H90" s="22"/>
      <x:c r="I90" s="22"/>
      <x:c r="J90" s="22" t="str">
        <x:f>IF(OR(H90="",I90=""),"",H90*I90)</x:f>
      </x:c>
      <x:c r="K90" s="22"/>
      <x:c r="L90" s="22"/>
      <x:c r="M90" s="22" t="str">
        <x:f>IF(J90="","",J90+IF(K90="",0,K90)+IF(L90="",0,L90))</x:f>
      </x:c>
      <x:c r="N90" s="22"/>
      <x:c r="O90" s="22" t="str">
        <x:f>IF(OR(N90="",M90=""),"",N90-M90)</x:f>
      </x:c>
      <x:c r="P90" s="24" t="str">
        <x:f>IFERROR(O90/N90,"")</x:f>
      </x:c>
      <x:c r="Q90" s="13"/>
      <x:c r="R90" s="13"/>
      <x:c r="S90" s="13" t="str">
        <x:f>IF(AND(D90="Можно заказывать",R90="Да",O90&gt;0),"GO","STOP")</x:f>
        <x:v>STOP</x:v>
      </x:c>
      <x:c r="T90" s="13"/>
    </x:row>
    <x:row r="91">
      <x:c r="A91" s="13"/>
      <x:c r="B91" s="13"/>
      <x:c r="C91" s="13"/>
      <x:c r="D91" s="13"/>
      <x:c r="E91" s="13"/>
      <x:c r="F91" s="13"/>
      <x:c r="G91" s="13"/>
      <x:c r="H91" s="22"/>
      <x:c r="I91" s="22"/>
      <x:c r="J91" s="22" t="str">
        <x:f>IF(OR(H91="",I91=""),"",H91*I91)</x:f>
      </x:c>
      <x:c r="K91" s="22"/>
      <x:c r="L91" s="22"/>
      <x:c r="M91" s="22" t="str">
        <x:f>IF(J91="","",J91+IF(K91="",0,K91)+IF(L91="",0,L91))</x:f>
      </x:c>
      <x:c r="N91" s="22"/>
      <x:c r="O91" s="22" t="str">
        <x:f>IF(OR(N91="",M91=""),"",N91-M91)</x:f>
      </x:c>
      <x:c r="P91" s="24" t="str">
        <x:f>IFERROR(O91/N91,"")</x:f>
      </x:c>
      <x:c r="Q91" s="13"/>
      <x:c r="R91" s="13"/>
      <x:c r="S91" s="13" t="str">
        <x:f>IF(AND(D91="Можно заказывать",R91="Да",O91&gt;0),"GO","STOP")</x:f>
        <x:v>STOP</x:v>
      </x:c>
      <x:c r="T91" s="13"/>
    </x:row>
    <x:row r="92">
      <x:c r="A92" s="13"/>
      <x:c r="B92" s="13"/>
      <x:c r="C92" s="13"/>
      <x:c r="D92" s="13"/>
      <x:c r="E92" s="13"/>
      <x:c r="F92" s="13"/>
      <x:c r="G92" s="13"/>
      <x:c r="H92" s="22"/>
      <x:c r="I92" s="22"/>
      <x:c r="J92" s="22" t="str">
        <x:f>IF(OR(H92="",I92=""),"",H92*I92)</x:f>
      </x:c>
      <x:c r="K92" s="22"/>
      <x:c r="L92" s="22"/>
      <x:c r="M92" s="22" t="str">
        <x:f>IF(J92="","",J92+IF(K92="",0,K92)+IF(L92="",0,L92))</x:f>
      </x:c>
      <x:c r="N92" s="22"/>
      <x:c r="O92" s="22" t="str">
        <x:f>IF(OR(N92="",M92=""),"",N92-M92)</x:f>
      </x:c>
      <x:c r="P92" s="24" t="str">
        <x:f>IFERROR(O92/N92,"")</x:f>
      </x:c>
      <x:c r="Q92" s="13"/>
      <x:c r="R92" s="13"/>
      <x:c r="S92" s="13" t="str">
        <x:f>IF(AND(D92="Можно заказывать",R92="Да",O92&gt;0),"GO","STOP")</x:f>
        <x:v>STOP</x:v>
      </x:c>
      <x:c r="T92" s="13"/>
    </x:row>
    <x:row r="93">
      <x:c r="A93" s="13"/>
      <x:c r="B93" s="13"/>
      <x:c r="C93" s="13"/>
      <x:c r="D93" s="13"/>
      <x:c r="E93" s="13"/>
      <x:c r="F93" s="13"/>
      <x:c r="G93" s="13"/>
      <x:c r="H93" s="22"/>
      <x:c r="I93" s="22"/>
      <x:c r="J93" s="22" t="str">
        <x:f>IF(OR(H93="",I93=""),"",H93*I93)</x:f>
      </x:c>
      <x:c r="K93" s="22"/>
      <x:c r="L93" s="22"/>
      <x:c r="M93" s="22" t="str">
        <x:f>IF(J93="","",J93+IF(K93="",0,K93)+IF(L93="",0,L93))</x:f>
      </x:c>
      <x:c r="N93" s="22"/>
      <x:c r="O93" s="22" t="str">
        <x:f>IF(OR(N93="",M93=""),"",N93-M93)</x:f>
      </x:c>
      <x:c r="P93" s="24" t="str">
        <x:f>IFERROR(O93/N93,"")</x:f>
      </x:c>
      <x:c r="Q93" s="13"/>
      <x:c r="R93" s="13"/>
      <x:c r="S93" s="13" t="str">
        <x:f>IF(AND(D93="Можно заказывать",R93="Да",O93&gt;0),"GO","STOP")</x:f>
        <x:v>STOP</x:v>
      </x:c>
      <x:c r="T93" s="13"/>
    </x:row>
    <x:row r="94">
      <x:c r="A94" s="13"/>
      <x:c r="B94" s="13"/>
      <x:c r="C94" s="13"/>
      <x:c r="D94" s="13"/>
      <x:c r="E94" s="13"/>
      <x:c r="F94" s="13"/>
      <x:c r="G94" s="13"/>
      <x:c r="H94" s="22"/>
      <x:c r="I94" s="22"/>
      <x:c r="J94" s="22" t="str">
        <x:f>IF(OR(H94="",I94=""),"",H94*I94)</x:f>
      </x:c>
      <x:c r="K94" s="22"/>
      <x:c r="L94" s="22"/>
      <x:c r="M94" s="22" t="str">
        <x:f>IF(J94="","",J94+IF(K94="",0,K94)+IF(L94="",0,L94))</x:f>
      </x:c>
      <x:c r="N94" s="22"/>
      <x:c r="O94" s="22" t="str">
        <x:f>IF(OR(N94="",M94=""),"",N94-M94)</x:f>
      </x:c>
      <x:c r="P94" s="24" t="str">
        <x:f>IFERROR(O94/N94,"")</x:f>
      </x:c>
      <x:c r="Q94" s="13"/>
      <x:c r="R94" s="13"/>
      <x:c r="S94" s="13" t="str">
        <x:f>IF(AND(D94="Можно заказывать",R94="Да",O94&gt;0),"GO","STOP")</x:f>
        <x:v>STOP</x:v>
      </x:c>
      <x:c r="T94" s="13"/>
    </x:row>
    <x:row r="95">
      <x:c r="A95" s="13"/>
      <x:c r="B95" s="13"/>
      <x:c r="C95" s="13"/>
      <x:c r="D95" s="13"/>
      <x:c r="E95" s="13"/>
      <x:c r="F95" s="13"/>
      <x:c r="G95" s="13"/>
      <x:c r="H95" s="22"/>
      <x:c r="I95" s="22"/>
      <x:c r="J95" s="22" t="str">
        <x:f>IF(OR(H95="",I95=""),"",H95*I95)</x:f>
      </x:c>
      <x:c r="K95" s="22"/>
      <x:c r="L95" s="22"/>
      <x:c r="M95" s="22" t="str">
        <x:f>IF(J95="","",J95+IF(K95="",0,K95)+IF(L95="",0,L95))</x:f>
      </x:c>
      <x:c r="N95" s="22"/>
      <x:c r="O95" s="22" t="str">
        <x:f>IF(OR(N95="",M95=""),"",N95-M95)</x:f>
      </x:c>
      <x:c r="P95" s="24" t="str">
        <x:f>IFERROR(O95/N95,"")</x:f>
      </x:c>
      <x:c r="Q95" s="13"/>
      <x:c r="R95" s="13"/>
      <x:c r="S95" s="13" t="str">
        <x:f>IF(AND(D95="Можно заказывать",R95="Да",O95&gt;0),"GO","STOP")</x:f>
        <x:v>STOP</x:v>
      </x:c>
      <x:c r="T95" s="13"/>
    </x:row>
    <x:row r="96">
      <x:c r="A96" s="13"/>
      <x:c r="B96" s="13"/>
      <x:c r="C96" s="13"/>
      <x:c r="D96" s="13"/>
      <x:c r="E96" s="13"/>
      <x:c r="F96" s="13"/>
      <x:c r="G96" s="13"/>
      <x:c r="H96" s="22"/>
      <x:c r="I96" s="22"/>
      <x:c r="J96" s="22" t="str">
        <x:f>IF(OR(H96="",I96=""),"",H96*I96)</x:f>
      </x:c>
      <x:c r="K96" s="22"/>
      <x:c r="L96" s="22"/>
      <x:c r="M96" s="22" t="str">
        <x:f>IF(J96="","",J96+IF(K96="",0,K96)+IF(L96="",0,L96))</x:f>
      </x:c>
      <x:c r="N96" s="22"/>
      <x:c r="O96" s="22" t="str">
        <x:f>IF(OR(N96="",M96=""),"",N96-M96)</x:f>
      </x:c>
      <x:c r="P96" s="24" t="str">
        <x:f>IFERROR(O96/N96,"")</x:f>
      </x:c>
      <x:c r="Q96" s="13"/>
      <x:c r="R96" s="13"/>
      <x:c r="S96" s="13" t="str">
        <x:f>IF(AND(D96="Можно заказывать",R96="Да",O96&gt;0),"GO","STOP")</x:f>
        <x:v>STOP</x:v>
      </x:c>
      <x:c r="T96" s="13"/>
    </x:row>
    <x:row r="97">
      <x:c r="A97" s="13"/>
      <x:c r="B97" s="13"/>
      <x:c r="C97" s="13"/>
      <x:c r="D97" s="13"/>
      <x:c r="E97" s="13"/>
      <x:c r="F97" s="13"/>
      <x:c r="G97" s="13"/>
      <x:c r="H97" s="22"/>
      <x:c r="I97" s="22"/>
      <x:c r="J97" s="22" t="str">
        <x:f>IF(OR(H97="",I97=""),"",H97*I97)</x:f>
      </x:c>
      <x:c r="K97" s="22"/>
      <x:c r="L97" s="22"/>
      <x:c r="M97" s="22" t="str">
        <x:f>IF(J97="","",J97+IF(K97="",0,K97)+IF(L97="",0,L97))</x:f>
      </x:c>
      <x:c r="N97" s="22"/>
      <x:c r="O97" s="22" t="str">
        <x:f>IF(OR(N97="",M97=""),"",N97-M97)</x:f>
      </x:c>
      <x:c r="P97" s="24" t="str">
        <x:f>IFERROR(O97/N97,"")</x:f>
      </x:c>
      <x:c r="Q97" s="13"/>
      <x:c r="R97" s="13"/>
      <x:c r="S97" s="13" t="str">
        <x:f>IF(AND(D97="Можно заказывать",R97="Да",O97&gt;0),"GO","STOP")</x:f>
        <x:v>STOP</x:v>
      </x:c>
      <x:c r="T97" s="13"/>
    </x:row>
    <x:row r="98">
      <x:c r="A98" s="13"/>
      <x:c r="B98" s="13"/>
      <x:c r="C98" s="13"/>
      <x:c r="D98" s="13"/>
      <x:c r="E98" s="13"/>
      <x:c r="F98" s="13"/>
      <x:c r="G98" s="13"/>
      <x:c r="H98" s="22"/>
      <x:c r="I98" s="22"/>
      <x:c r="J98" s="22" t="str">
        <x:f>IF(OR(H98="",I98=""),"",H98*I98)</x:f>
      </x:c>
      <x:c r="K98" s="22"/>
      <x:c r="L98" s="22"/>
      <x:c r="M98" s="22" t="str">
        <x:f>IF(J98="","",J98+IF(K98="",0,K98)+IF(L98="",0,L98))</x:f>
      </x:c>
      <x:c r="N98" s="22"/>
      <x:c r="O98" s="22" t="str">
        <x:f>IF(OR(N98="",M98=""),"",N98-M98)</x:f>
      </x:c>
      <x:c r="P98" s="24" t="str">
        <x:f>IFERROR(O98/N98,"")</x:f>
      </x:c>
      <x:c r="Q98" s="13"/>
      <x:c r="R98" s="13"/>
      <x:c r="S98" s="13" t="str">
        <x:f>IF(AND(D98="Можно заказывать",R98="Да",O98&gt;0),"GO","STOP")</x:f>
        <x:v>STOP</x:v>
      </x:c>
      <x:c r="T98" s="13"/>
    </x:row>
    <x:row r="99">
      <x:c r="A99" s="13"/>
      <x:c r="B99" s="13"/>
      <x:c r="C99" s="13"/>
      <x:c r="D99" s="13"/>
      <x:c r="E99" s="13"/>
      <x:c r="F99" s="13"/>
      <x:c r="G99" s="13"/>
      <x:c r="H99" s="22"/>
      <x:c r="I99" s="22"/>
      <x:c r="J99" s="22" t="str">
        <x:f>IF(OR(H99="",I99=""),"",H99*I99)</x:f>
      </x:c>
      <x:c r="K99" s="22"/>
      <x:c r="L99" s="22"/>
      <x:c r="M99" s="22" t="str">
        <x:f>IF(J99="","",J99+IF(K99="",0,K99)+IF(L99="",0,L99))</x:f>
      </x:c>
      <x:c r="N99" s="22"/>
      <x:c r="O99" s="22" t="str">
        <x:f>IF(OR(N99="",M99=""),"",N99-M99)</x:f>
      </x:c>
      <x:c r="P99" s="24" t="str">
        <x:f>IFERROR(O99/N99,"")</x:f>
      </x:c>
      <x:c r="Q99" s="13"/>
      <x:c r="R99" s="13"/>
      <x:c r="S99" s="13" t="str">
        <x:f>IF(AND(D99="Можно заказывать",R99="Да",O99&gt;0),"GO","STOP")</x:f>
        <x:v>STOP</x:v>
      </x:c>
      <x:c r="T99" s="13"/>
    </x:row>
    <x:row r="100">
      <x:c r="A100" s="13"/>
      <x:c r="B100" s="13"/>
      <x:c r="C100" s="13"/>
      <x:c r="D100" s="13"/>
      <x:c r="E100" s="13"/>
      <x:c r="F100" s="13"/>
      <x:c r="G100" s="13"/>
      <x:c r="H100" s="22"/>
      <x:c r="I100" s="22"/>
      <x:c r="J100" s="22" t="str">
        <x:f>IF(OR(H100="",I100=""),"",H100*I100)</x:f>
      </x:c>
      <x:c r="K100" s="22"/>
      <x:c r="L100" s="22"/>
      <x:c r="M100" s="22" t="str">
        <x:f>IF(J100="","",J100+IF(K100="",0,K100)+IF(L100="",0,L100))</x:f>
      </x:c>
      <x:c r="N100" s="22"/>
      <x:c r="O100" s="22" t="str">
        <x:f>IF(OR(N100="",M100=""),"",N100-M100)</x:f>
      </x:c>
      <x:c r="P100" s="24" t="str">
        <x:f>IFERROR(O100/N100,"")</x:f>
      </x:c>
      <x:c r="Q100" s="13"/>
      <x:c r="R100" s="13"/>
      <x:c r="S100" s="13" t="str">
        <x:f>IF(AND(D100="Можно заказывать",R100="Да",O100&gt;0),"GO","STOP")</x:f>
        <x:v>STOP</x:v>
      </x:c>
      <x:c r="T100" s="13"/>
    </x:row>
    <x:row r="101">
      <x:c r="A101" s="13"/>
      <x:c r="B101" s="13"/>
      <x:c r="C101" s="13"/>
      <x:c r="D101" s="13"/>
      <x:c r="E101" s="13"/>
      <x:c r="F101" s="13"/>
      <x:c r="G101" s="13"/>
      <x:c r="H101" s="22"/>
      <x:c r="I101" s="22"/>
      <x:c r="J101" s="22" t="str">
        <x:f>IF(OR(H101="",I101=""),"",H101*I101)</x:f>
      </x:c>
      <x:c r="K101" s="22"/>
      <x:c r="L101" s="22"/>
      <x:c r="M101" s="22" t="str">
        <x:f>IF(J101="","",J101+IF(K101="",0,K101)+IF(L101="",0,L101))</x:f>
      </x:c>
      <x:c r="N101" s="22"/>
      <x:c r="O101" s="22" t="str">
        <x:f>IF(OR(N101="",M101=""),"",N101-M101)</x:f>
      </x:c>
      <x:c r="P101" s="24" t="str">
        <x:f>IFERROR(O101/N101,"")</x:f>
      </x:c>
      <x:c r="Q101" s="13"/>
      <x:c r="R101" s="13"/>
      <x:c r="S101" s="13" t="str">
        <x:f>IF(AND(D101="Можно заказывать",R101="Да",O101&gt;0),"GO","STOP")</x:f>
        <x:v>STOP</x:v>
      </x:c>
      <x:c r="T101" s="13"/>
    </x:row>
    <x:row r="102">
      <x:c r="A102" s="13"/>
      <x:c r="B102" s="13"/>
      <x:c r="C102" s="13"/>
      <x:c r="D102" s="13"/>
      <x:c r="E102" s="13"/>
      <x:c r="F102" s="13"/>
      <x:c r="G102" s="13"/>
      <x:c r="H102" s="22"/>
      <x:c r="I102" s="22"/>
      <x:c r="J102" s="22" t="str">
        <x:f>IF(OR(H102="",I102=""),"",H102*I102)</x:f>
      </x:c>
      <x:c r="K102" s="22"/>
      <x:c r="L102" s="22"/>
      <x:c r="M102" s="22" t="str">
        <x:f>IF(J102="","",J102+IF(K102="",0,K102)+IF(L102="",0,L102))</x:f>
      </x:c>
      <x:c r="N102" s="22"/>
      <x:c r="O102" s="22" t="str">
        <x:f>IF(OR(N102="",M102=""),"",N102-M102)</x:f>
      </x:c>
      <x:c r="P102" s="24" t="str">
        <x:f>IFERROR(O102/N102,"")</x:f>
      </x:c>
      <x:c r="Q102" s="13"/>
      <x:c r="R102" s="13"/>
      <x:c r="S102" s="13" t="str">
        <x:f>IF(AND(D102="Можно заказывать",R102="Да",O102&gt;0),"GO","STOP")</x:f>
        <x:v>STOP</x:v>
      </x:c>
      <x:c r="T102" s="13"/>
    </x:row>
    <x:row r="103">
      <x:c r="A103" s="13"/>
      <x:c r="B103" s="13"/>
      <x:c r="C103" s="13"/>
      <x:c r="D103" s="13"/>
      <x:c r="E103" s="13"/>
      <x:c r="F103" s="13"/>
      <x:c r="G103" s="13"/>
      <x:c r="H103" s="22"/>
      <x:c r="I103" s="22"/>
      <x:c r="J103" s="22" t="str">
        <x:f>IF(OR(H103="",I103=""),"",H103*I103)</x:f>
      </x:c>
      <x:c r="K103" s="22"/>
      <x:c r="L103" s="22"/>
      <x:c r="M103" s="22" t="str">
        <x:f>IF(J103="","",J103+IF(K103="",0,K103)+IF(L103="",0,L103))</x:f>
      </x:c>
      <x:c r="N103" s="22"/>
      <x:c r="O103" s="22" t="str">
        <x:f>IF(OR(N103="",M103=""),"",N103-M103)</x:f>
      </x:c>
      <x:c r="P103" s="24" t="str">
        <x:f>IFERROR(O103/N103,"")</x:f>
      </x:c>
      <x:c r="Q103" s="13"/>
      <x:c r="R103" s="13"/>
      <x:c r="S103" s="13" t="str">
        <x:f>IF(AND(D103="Можно заказывать",R103="Да",O103&gt;0),"GO","STOP")</x:f>
        <x:v>STOP</x:v>
      </x:c>
      <x:c r="T103" s="13"/>
    </x:row>
    <x:row r="104">
      <x:c r="A104" s="13"/>
      <x:c r="B104" s="13"/>
      <x:c r="C104" s="13"/>
      <x:c r="D104" s="13"/>
      <x:c r="E104" s="13"/>
      <x:c r="F104" s="13"/>
      <x:c r="G104" s="13"/>
      <x:c r="H104" s="22"/>
      <x:c r="I104" s="22"/>
      <x:c r="J104" s="22" t="str">
        <x:f>IF(OR(H104="",I104=""),"",H104*I104)</x:f>
      </x:c>
      <x:c r="K104" s="22"/>
      <x:c r="L104" s="22"/>
      <x:c r="M104" s="22" t="str">
        <x:f>IF(J104="","",J104+IF(K104="",0,K104)+IF(L104="",0,L104))</x:f>
      </x:c>
      <x:c r="N104" s="22"/>
      <x:c r="O104" s="22" t="str">
        <x:f>IF(OR(N104="",M104=""),"",N104-M104)</x:f>
      </x:c>
      <x:c r="P104" s="24" t="str">
        <x:f>IFERROR(O104/N104,"")</x:f>
      </x:c>
      <x:c r="Q104" s="13"/>
      <x:c r="R104" s="13"/>
      <x:c r="S104" s="13" t="str">
        <x:f>IF(AND(D104="Можно заказывать",R104="Да",O104&gt;0),"GO","STOP")</x:f>
        <x:v>STOP</x:v>
      </x:c>
      <x:c r="T104" s="13"/>
    </x:row>
    <x:row r="105">
      <x:c r="A105" s="13"/>
      <x:c r="B105" s="13"/>
      <x:c r="C105" s="13"/>
      <x:c r="D105" s="13"/>
      <x:c r="E105" s="13"/>
      <x:c r="F105" s="13"/>
      <x:c r="G105" s="13"/>
      <x:c r="H105" s="22"/>
      <x:c r="I105" s="22"/>
      <x:c r="J105" s="22" t="str">
        <x:f>IF(OR(H105="",I105=""),"",H105*I105)</x:f>
      </x:c>
      <x:c r="K105" s="22"/>
      <x:c r="L105" s="22"/>
      <x:c r="M105" s="22" t="str">
        <x:f>IF(J105="","",J105+IF(K105="",0,K105)+IF(L105="",0,L105))</x:f>
      </x:c>
      <x:c r="N105" s="22"/>
      <x:c r="O105" s="22" t="str">
        <x:f>IF(OR(N105="",M105=""),"",N105-M105)</x:f>
      </x:c>
      <x:c r="P105" s="24" t="str">
        <x:f>IFERROR(O105/N105,"")</x:f>
      </x:c>
      <x:c r="Q105" s="13"/>
      <x:c r="R105" s="13"/>
      <x:c r="S105" s="13" t="str">
        <x:f>IF(AND(D105="Можно заказывать",R105="Да",O105&gt;0),"GO","STOP")</x:f>
        <x:v>STOP</x:v>
      </x:c>
      <x:c r="T105" s="13"/>
    </x:row>
    <x:row r="106">
      <x:c r="A106" s="13"/>
      <x:c r="B106" s="13"/>
      <x:c r="C106" s="13"/>
      <x:c r="D106" s="13"/>
      <x:c r="E106" s="13"/>
      <x:c r="F106" s="13"/>
      <x:c r="G106" s="13"/>
      <x:c r="H106" s="22"/>
      <x:c r="I106" s="22"/>
      <x:c r="J106" s="22" t="str">
        <x:f>IF(OR(H106="",I106=""),"",H106*I106)</x:f>
      </x:c>
      <x:c r="K106" s="22"/>
      <x:c r="L106" s="22"/>
      <x:c r="M106" s="22" t="str">
        <x:f>IF(J106="","",J106+IF(K106="",0,K106)+IF(L106="",0,L106))</x:f>
      </x:c>
      <x:c r="N106" s="22"/>
      <x:c r="O106" s="22" t="str">
        <x:f>IF(OR(N106="",M106=""),"",N106-M106)</x:f>
      </x:c>
      <x:c r="P106" s="24" t="str">
        <x:f>IFERROR(O106/N106,"")</x:f>
      </x:c>
      <x:c r="Q106" s="13"/>
      <x:c r="R106" s="13"/>
      <x:c r="S106" s="13" t="str">
        <x:f>IF(AND(D106="Можно заказывать",R106="Да",O106&gt;0),"GO","STOP")</x:f>
        <x:v>STOP</x:v>
      </x:c>
      <x:c r="T106" s="13"/>
    </x:row>
    <x:row r="107">
      <x:c r="A107" s="13"/>
      <x:c r="B107" s="13"/>
      <x:c r="C107" s="13"/>
      <x:c r="D107" s="13"/>
      <x:c r="E107" s="13"/>
      <x:c r="F107" s="13"/>
      <x:c r="G107" s="13"/>
      <x:c r="H107" s="22"/>
      <x:c r="I107" s="22"/>
      <x:c r="J107" s="22" t="str">
        <x:f>IF(OR(H107="",I107=""),"",H107*I107)</x:f>
      </x:c>
      <x:c r="K107" s="22"/>
      <x:c r="L107" s="22"/>
      <x:c r="M107" s="22" t="str">
        <x:f>IF(J107="","",J107+IF(K107="",0,K107)+IF(L107="",0,L107))</x:f>
      </x:c>
      <x:c r="N107" s="22"/>
      <x:c r="O107" s="22" t="str">
        <x:f>IF(OR(N107="",M107=""),"",N107-M107)</x:f>
      </x:c>
      <x:c r="P107" s="24" t="str">
        <x:f>IFERROR(O107/N107,"")</x:f>
      </x:c>
      <x:c r="Q107" s="13"/>
      <x:c r="R107" s="13"/>
      <x:c r="S107" s="13" t="str">
        <x:f>IF(AND(D107="Можно заказывать",R107="Да",O107&gt;0),"GO","STOP")</x:f>
        <x:v>STOP</x:v>
      </x:c>
      <x:c r="T107" s="13"/>
    </x:row>
    <x:row r="108">
      <x:c r="A108" s="13"/>
      <x:c r="B108" s="13"/>
      <x:c r="C108" s="13"/>
      <x:c r="D108" s="13"/>
      <x:c r="E108" s="13"/>
      <x:c r="F108" s="13"/>
      <x:c r="G108" s="13"/>
      <x:c r="H108" s="22"/>
      <x:c r="I108" s="22"/>
      <x:c r="J108" s="22" t="str">
        <x:f>IF(OR(H108="",I108=""),"",H108*I108)</x:f>
      </x:c>
      <x:c r="K108" s="22"/>
      <x:c r="L108" s="22"/>
      <x:c r="M108" s="22" t="str">
        <x:f>IF(J108="","",J108+IF(K108="",0,K108)+IF(L108="",0,L108))</x:f>
      </x:c>
      <x:c r="N108" s="22"/>
      <x:c r="O108" s="22" t="str">
        <x:f>IF(OR(N108="",M108=""),"",N108-M108)</x:f>
      </x:c>
      <x:c r="P108" s="24" t="str">
        <x:f>IFERROR(O108/N108,"")</x:f>
      </x:c>
      <x:c r="Q108" s="13"/>
      <x:c r="R108" s="13"/>
      <x:c r="S108" s="13" t="str">
        <x:f>IF(AND(D108="Можно заказывать",R108="Да",O108&gt;0),"GO","STOP")</x:f>
        <x:v>STOP</x:v>
      </x:c>
      <x:c r="T108" s="13"/>
    </x:row>
    <x:row r="109">
      <x:c r="A109" s="13"/>
      <x:c r="B109" s="13"/>
      <x:c r="C109" s="13"/>
      <x:c r="D109" s="13"/>
      <x:c r="E109" s="13"/>
      <x:c r="F109" s="13"/>
      <x:c r="G109" s="13"/>
      <x:c r="H109" s="22"/>
      <x:c r="I109" s="22"/>
      <x:c r="J109" s="22" t="str">
        <x:f>IF(OR(H109="",I109=""),"",H109*I109)</x:f>
      </x:c>
      <x:c r="K109" s="22"/>
      <x:c r="L109" s="22"/>
      <x:c r="M109" s="22" t="str">
        <x:f>IF(J109="","",J109+IF(K109="",0,K109)+IF(L109="",0,L109))</x:f>
      </x:c>
      <x:c r="N109" s="22"/>
      <x:c r="O109" s="22" t="str">
        <x:f>IF(OR(N109="",M109=""),"",N109-M109)</x:f>
      </x:c>
      <x:c r="P109" s="24" t="str">
        <x:f>IFERROR(O109/N109,"")</x:f>
      </x:c>
      <x:c r="Q109" s="13"/>
      <x:c r="R109" s="13"/>
      <x:c r="S109" s="13" t="str">
        <x:f>IF(AND(D109="Можно заказывать",R109="Да",O109&gt;0),"GO","STOP")</x:f>
        <x:v>STOP</x:v>
      </x:c>
      <x:c r="T109" s="13"/>
    </x:row>
    <x:row r="110">
      <x:c r="A110" s="13"/>
      <x:c r="B110" s="13"/>
      <x:c r="C110" s="13"/>
      <x:c r="D110" s="13"/>
      <x:c r="E110" s="13"/>
      <x:c r="F110" s="13"/>
      <x:c r="G110" s="13"/>
      <x:c r="H110" s="22"/>
      <x:c r="I110" s="22"/>
      <x:c r="J110" s="22" t="str">
        <x:f>IF(OR(H110="",I110=""),"",H110*I110)</x:f>
      </x:c>
      <x:c r="K110" s="22"/>
      <x:c r="L110" s="22"/>
      <x:c r="M110" s="22" t="str">
        <x:f>IF(J110="","",J110+IF(K110="",0,K110)+IF(L110="",0,L110))</x:f>
      </x:c>
      <x:c r="N110" s="22"/>
      <x:c r="O110" s="22" t="str">
        <x:f>IF(OR(N110="",M110=""),"",N110-M110)</x:f>
      </x:c>
      <x:c r="P110" s="24" t="str">
        <x:f>IFERROR(O110/N110,"")</x:f>
      </x:c>
      <x:c r="Q110" s="13"/>
      <x:c r="R110" s="13"/>
      <x:c r="S110" s="13" t="str">
        <x:f>IF(AND(D110="Можно заказывать",R110="Да",O110&gt;0),"GO","STOP")</x:f>
        <x:v>STOP</x:v>
      </x:c>
      <x:c r="T110" s="13"/>
    </x:row>
    <x:row r="111">
      <x:c r="A111" s="13"/>
      <x:c r="B111" s="13"/>
      <x:c r="C111" s="13"/>
      <x:c r="D111" s="13"/>
      <x:c r="E111" s="13"/>
      <x:c r="F111" s="13"/>
      <x:c r="G111" s="13"/>
      <x:c r="H111" s="22"/>
      <x:c r="I111" s="22"/>
      <x:c r="J111" s="22" t="str">
        <x:f>IF(OR(H111="",I111=""),"",H111*I111)</x:f>
      </x:c>
      <x:c r="K111" s="22"/>
      <x:c r="L111" s="22"/>
      <x:c r="M111" s="22" t="str">
        <x:f>IF(J111="","",J111+IF(K111="",0,K111)+IF(L111="",0,L111))</x:f>
      </x:c>
      <x:c r="N111" s="22"/>
      <x:c r="O111" s="22" t="str">
        <x:f>IF(OR(N111="",M111=""),"",N111-M111)</x:f>
      </x:c>
      <x:c r="P111" s="24" t="str">
        <x:f>IFERROR(O111/N111,"")</x:f>
      </x:c>
      <x:c r="Q111" s="13"/>
      <x:c r="R111" s="13"/>
      <x:c r="S111" s="13" t="str">
        <x:f>IF(AND(D111="Можно заказывать",R111="Да",O111&gt;0),"GO","STOP")</x:f>
        <x:v>STOP</x:v>
      </x:c>
      <x:c r="T111" s="13"/>
    </x:row>
    <x:row r="112">
      <x:c r="A112" s="13"/>
      <x:c r="B112" s="13"/>
      <x:c r="C112" s="13"/>
      <x:c r="D112" s="13"/>
      <x:c r="E112" s="13"/>
      <x:c r="F112" s="13"/>
      <x:c r="G112" s="13"/>
      <x:c r="H112" s="22"/>
      <x:c r="I112" s="22"/>
      <x:c r="J112" s="22" t="str">
        <x:f>IF(OR(H112="",I112=""),"",H112*I112)</x:f>
      </x:c>
      <x:c r="K112" s="22"/>
      <x:c r="L112" s="22"/>
      <x:c r="M112" s="22" t="str">
        <x:f>IF(J112="","",J112+IF(K112="",0,K112)+IF(L112="",0,L112))</x:f>
      </x:c>
      <x:c r="N112" s="22"/>
      <x:c r="O112" s="22" t="str">
        <x:f>IF(OR(N112="",M112=""),"",N112-M112)</x:f>
      </x:c>
      <x:c r="P112" s="24" t="str">
        <x:f>IFERROR(O112/N112,"")</x:f>
      </x:c>
      <x:c r="Q112" s="13"/>
      <x:c r="R112" s="13"/>
      <x:c r="S112" s="13" t="str">
        <x:f>IF(AND(D112="Можно заказывать",R112="Да",O112&gt;0),"GO","STOP")</x:f>
        <x:v>STOP</x:v>
      </x:c>
      <x:c r="T112" s="13"/>
    </x:row>
    <x:row r="113">
      <x:c r="A113" s="13"/>
      <x:c r="B113" s="13"/>
      <x:c r="C113" s="13"/>
      <x:c r="D113" s="13"/>
      <x:c r="E113" s="13"/>
      <x:c r="F113" s="13"/>
      <x:c r="G113" s="13"/>
      <x:c r="H113" s="22"/>
      <x:c r="I113" s="22"/>
      <x:c r="J113" s="22" t="str">
        <x:f>IF(OR(H113="",I113=""),"",H113*I113)</x:f>
      </x:c>
      <x:c r="K113" s="22"/>
      <x:c r="L113" s="22"/>
      <x:c r="M113" s="22" t="str">
        <x:f>IF(J113="","",J113+IF(K113="",0,K113)+IF(L113="",0,L113))</x:f>
      </x:c>
      <x:c r="N113" s="22"/>
      <x:c r="O113" s="22" t="str">
        <x:f>IF(OR(N113="",M113=""),"",N113-M113)</x:f>
      </x:c>
      <x:c r="P113" s="24" t="str">
        <x:f>IFERROR(O113/N113,"")</x:f>
      </x:c>
      <x:c r="Q113" s="13"/>
      <x:c r="R113" s="13"/>
      <x:c r="S113" s="13" t="str">
        <x:f>IF(AND(D113="Можно заказывать",R113="Да",O113&gt;0),"GO","STOP")</x:f>
        <x:v>STOP</x:v>
      </x:c>
      <x:c r="T113" s="13"/>
    </x:row>
    <x:row r="114">
      <x:c r="A114" s="13"/>
      <x:c r="B114" s="13"/>
      <x:c r="C114" s="13"/>
      <x:c r="D114" s="13"/>
      <x:c r="E114" s="13"/>
      <x:c r="F114" s="13"/>
      <x:c r="G114" s="13"/>
      <x:c r="H114" s="22"/>
      <x:c r="I114" s="22"/>
      <x:c r="J114" s="22" t="str">
        <x:f>IF(OR(H114="",I114=""),"",H114*I114)</x:f>
      </x:c>
      <x:c r="K114" s="22"/>
      <x:c r="L114" s="22"/>
      <x:c r="M114" s="22" t="str">
        <x:f>IF(J114="","",J114+IF(K114="",0,K114)+IF(L114="",0,L114))</x:f>
      </x:c>
      <x:c r="N114" s="22"/>
      <x:c r="O114" s="22" t="str">
        <x:f>IF(OR(N114="",M114=""),"",N114-M114)</x:f>
      </x:c>
      <x:c r="P114" s="24" t="str">
        <x:f>IFERROR(O114/N114,"")</x:f>
      </x:c>
      <x:c r="Q114" s="13"/>
      <x:c r="R114" s="13"/>
      <x:c r="S114" s="13" t="str">
        <x:f>IF(AND(D114="Можно заказывать",R114="Да",O114&gt;0),"GO","STOP")</x:f>
        <x:v>STOP</x:v>
      </x:c>
      <x:c r="T114" s="13"/>
    </x:row>
    <x:row r="115">
      <x:c r="A115" s="13"/>
      <x:c r="B115" s="13"/>
      <x:c r="C115" s="13"/>
      <x:c r="D115" s="13"/>
      <x:c r="E115" s="13"/>
      <x:c r="F115" s="13"/>
      <x:c r="G115" s="13"/>
      <x:c r="H115" s="22"/>
      <x:c r="I115" s="22"/>
      <x:c r="J115" s="22" t="str">
        <x:f>IF(OR(H115="",I115=""),"",H115*I115)</x:f>
      </x:c>
      <x:c r="K115" s="22"/>
      <x:c r="L115" s="22"/>
      <x:c r="M115" s="22" t="str">
        <x:f>IF(J115="","",J115+IF(K115="",0,K115)+IF(L115="",0,L115))</x:f>
      </x:c>
      <x:c r="N115" s="22"/>
      <x:c r="O115" s="22" t="str">
        <x:f>IF(OR(N115="",M115=""),"",N115-M115)</x:f>
      </x:c>
      <x:c r="P115" s="24" t="str">
        <x:f>IFERROR(O115/N115,"")</x:f>
      </x:c>
      <x:c r="Q115" s="13"/>
      <x:c r="R115" s="13"/>
      <x:c r="S115" s="13" t="str">
        <x:f>IF(AND(D115="Можно заказывать",R115="Да",O115&gt;0),"GO","STOP")</x:f>
        <x:v>STOP</x:v>
      </x:c>
      <x:c r="T115" s="13"/>
    </x:row>
    <x:row r="116">
      <x:c r="A116" s="13"/>
      <x:c r="B116" s="13"/>
      <x:c r="C116" s="13"/>
      <x:c r="D116" s="13"/>
      <x:c r="E116" s="13"/>
      <x:c r="F116" s="13"/>
      <x:c r="G116" s="13"/>
      <x:c r="H116" s="22"/>
      <x:c r="I116" s="22"/>
      <x:c r="J116" s="22" t="str">
        <x:f>IF(OR(H116="",I116=""),"",H116*I116)</x:f>
      </x:c>
      <x:c r="K116" s="22"/>
      <x:c r="L116" s="22"/>
      <x:c r="M116" s="22" t="str">
        <x:f>IF(J116="","",J116+IF(K116="",0,K116)+IF(L116="",0,L116))</x:f>
      </x:c>
      <x:c r="N116" s="22"/>
      <x:c r="O116" s="22" t="str">
        <x:f>IF(OR(N116="",M116=""),"",N116-M116)</x:f>
      </x:c>
      <x:c r="P116" s="24" t="str">
        <x:f>IFERROR(O116/N116,"")</x:f>
      </x:c>
      <x:c r="Q116" s="13"/>
      <x:c r="R116" s="13"/>
      <x:c r="S116" s="13" t="str">
        <x:f>IF(AND(D116="Можно заказывать",R116="Да",O116&gt;0),"GO","STOP")</x:f>
        <x:v>STOP</x:v>
      </x:c>
      <x:c r="T116" s="13"/>
    </x:row>
    <x:row r="117">
      <x:c r="A117" s="13"/>
      <x:c r="B117" s="13"/>
      <x:c r="C117" s="13"/>
      <x:c r="D117" s="13"/>
      <x:c r="E117" s="13"/>
      <x:c r="F117" s="13"/>
      <x:c r="G117" s="13"/>
      <x:c r="H117" s="22"/>
      <x:c r="I117" s="22"/>
      <x:c r="J117" s="22" t="str">
        <x:f>IF(OR(H117="",I117=""),"",H117*I117)</x:f>
      </x:c>
      <x:c r="K117" s="22"/>
      <x:c r="L117" s="22"/>
      <x:c r="M117" s="22" t="str">
        <x:f>IF(J117="","",J117+IF(K117="",0,K117)+IF(L117="",0,L117))</x:f>
      </x:c>
      <x:c r="N117" s="22"/>
      <x:c r="O117" s="22" t="str">
        <x:f>IF(OR(N117="",M117=""),"",N117-M117)</x:f>
      </x:c>
      <x:c r="P117" s="24" t="str">
        <x:f>IFERROR(O117/N117,"")</x:f>
      </x:c>
      <x:c r="Q117" s="13"/>
      <x:c r="R117" s="13"/>
      <x:c r="S117" s="13" t="str">
        <x:f>IF(AND(D117="Можно заказывать",R117="Да",O117&gt;0),"GO","STOP")</x:f>
        <x:v>STOP</x:v>
      </x:c>
      <x:c r="T117" s="13"/>
    </x:row>
    <x:row r="118">
      <x:c r="A118" s="13"/>
      <x:c r="B118" s="13"/>
      <x:c r="C118" s="13"/>
      <x:c r="D118" s="13"/>
      <x:c r="E118" s="13"/>
      <x:c r="F118" s="13"/>
      <x:c r="G118" s="13"/>
      <x:c r="H118" s="22"/>
      <x:c r="I118" s="22"/>
      <x:c r="J118" s="22" t="str">
        <x:f>IF(OR(H118="",I118=""),"",H118*I118)</x:f>
      </x:c>
      <x:c r="K118" s="22"/>
      <x:c r="L118" s="22"/>
      <x:c r="M118" s="22" t="str">
        <x:f>IF(J118="","",J118+IF(K118="",0,K118)+IF(L118="",0,L118))</x:f>
      </x:c>
      <x:c r="N118" s="22"/>
      <x:c r="O118" s="22" t="str">
        <x:f>IF(OR(N118="",M118=""),"",N118-M118)</x:f>
      </x:c>
      <x:c r="P118" s="24" t="str">
        <x:f>IFERROR(O118/N118,"")</x:f>
      </x:c>
      <x:c r="Q118" s="13"/>
      <x:c r="R118" s="13"/>
      <x:c r="S118" s="13" t="str">
        <x:f>IF(AND(D118="Можно заказывать",R118="Да",O118&gt;0),"GO","STOP")</x:f>
        <x:v>STOP</x:v>
      </x:c>
      <x:c r="T118" s="13"/>
    </x:row>
    <x:row r="119">
      <x:c r="A119" s="13"/>
      <x:c r="B119" s="13"/>
      <x:c r="C119" s="13"/>
      <x:c r="D119" s="13"/>
      <x:c r="E119" s="13"/>
      <x:c r="F119" s="13"/>
      <x:c r="G119" s="13"/>
      <x:c r="H119" s="22"/>
      <x:c r="I119" s="22"/>
      <x:c r="J119" s="22" t="str">
        <x:f>IF(OR(H119="",I119=""),"",H119*I119)</x:f>
      </x:c>
      <x:c r="K119" s="22"/>
      <x:c r="L119" s="22"/>
      <x:c r="M119" s="22" t="str">
        <x:f>IF(J119="","",J119+IF(K119="",0,K119)+IF(L119="",0,L119))</x:f>
      </x:c>
      <x:c r="N119" s="22"/>
      <x:c r="O119" s="22" t="str">
        <x:f>IF(OR(N119="",M119=""),"",N119-M119)</x:f>
      </x:c>
      <x:c r="P119" s="24" t="str">
        <x:f>IFERROR(O119/N119,"")</x:f>
      </x:c>
      <x:c r="Q119" s="13"/>
      <x:c r="R119" s="13"/>
      <x:c r="S119" s="13" t="str">
        <x:f>IF(AND(D119="Можно заказывать",R119="Да",O119&gt;0),"GO","STOP")</x:f>
        <x:v>STOP</x:v>
      </x:c>
      <x:c r="T119" s="13"/>
    </x:row>
    <x:row r="120">
      <x:c r="A120" s="13"/>
      <x:c r="B120" s="13"/>
      <x:c r="C120" s="13"/>
      <x:c r="D120" s="13"/>
      <x:c r="E120" s="13"/>
      <x:c r="F120" s="13"/>
      <x:c r="G120" s="13"/>
      <x:c r="H120" s="22"/>
      <x:c r="I120" s="22"/>
      <x:c r="J120" s="22" t="str">
        <x:f>IF(OR(H120="",I120=""),"",H120*I120)</x:f>
      </x:c>
      <x:c r="K120" s="22"/>
      <x:c r="L120" s="22"/>
      <x:c r="M120" s="22" t="str">
        <x:f>IF(J120="","",J120+IF(K120="",0,K120)+IF(L120="",0,L120))</x:f>
      </x:c>
      <x:c r="N120" s="22"/>
      <x:c r="O120" s="22" t="str">
        <x:f>IF(OR(N120="",M120=""),"",N120-M120)</x:f>
      </x:c>
      <x:c r="P120" s="24" t="str">
        <x:f>IFERROR(O120/N120,"")</x:f>
      </x:c>
      <x:c r="Q120" s="13"/>
      <x:c r="R120" s="13"/>
      <x:c r="S120" s="13" t="str">
        <x:f>IF(AND(D120="Можно заказывать",R120="Да",O120&gt;0),"GO","STOP")</x:f>
        <x:v>STOP</x:v>
      </x:c>
      <x:c r="T120" s="13"/>
    </x:row>
    <x:row r="121">
      <x:c r="A121" s="13"/>
      <x:c r="B121" s="13"/>
      <x:c r="C121" s="13"/>
      <x:c r="D121" s="13"/>
      <x:c r="E121" s="13"/>
      <x:c r="F121" s="13"/>
      <x:c r="G121" s="13"/>
      <x:c r="H121" s="22"/>
      <x:c r="I121" s="22"/>
      <x:c r="J121" s="22" t="str">
        <x:f>IF(OR(H121="",I121=""),"",H121*I121)</x:f>
      </x:c>
      <x:c r="K121" s="22"/>
      <x:c r="L121" s="22"/>
      <x:c r="M121" s="22" t="str">
        <x:f>IF(J121="","",J121+IF(K121="",0,K121)+IF(L121="",0,L121))</x:f>
      </x:c>
      <x:c r="N121" s="22"/>
      <x:c r="O121" s="22" t="str">
        <x:f>IF(OR(N121="",M121=""),"",N121-M121)</x:f>
      </x:c>
      <x:c r="P121" s="24" t="str">
        <x:f>IFERROR(O121/N121,"")</x:f>
      </x:c>
      <x:c r="Q121" s="13"/>
      <x:c r="R121" s="13"/>
      <x:c r="S121" s="13" t="str">
        <x:f>IF(AND(D121="Можно заказывать",R121="Да",O121&gt;0),"GO","STOP")</x:f>
        <x:v>STOP</x:v>
      </x:c>
      <x:c r="T121" s="13"/>
    </x:row>
    <x:row r="122">
      <x:c r="A122" s="13"/>
      <x:c r="B122" s="13"/>
      <x:c r="C122" s="13"/>
      <x:c r="D122" s="13"/>
      <x:c r="E122" s="13"/>
      <x:c r="F122" s="13"/>
      <x:c r="G122" s="13"/>
      <x:c r="H122" s="22"/>
      <x:c r="I122" s="22"/>
      <x:c r="J122" s="22" t="str">
        <x:f>IF(OR(H122="",I122=""),"",H122*I122)</x:f>
      </x:c>
      <x:c r="K122" s="22"/>
      <x:c r="L122" s="22"/>
      <x:c r="M122" s="22" t="str">
        <x:f>IF(J122="","",J122+IF(K122="",0,K122)+IF(L122="",0,L122))</x:f>
      </x:c>
      <x:c r="N122" s="22"/>
      <x:c r="O122" s="22" t="str">
        <x:f>IF(OR(N122="",M122=""),"",N122-M122)</x:f>
      </x:c>
      <x:c r="P122" s="24" t="str">
        <x:f>IFERROR(O122/N122,"")</x:f>
      </x:c>
      <x:c r="Q122" s="13"/>
      <x:c r="R122" s="13"/>
      <x:c r="S122" s="13" t="str">
        <x:f>IF(AND(D122="Можно заказывать",R122="Да",O122&gt;0),"GO","STOP")</x:f>
        <x:v>STOP</x:v>
      </x:c>
      <x:c r="T122" s="13"/>
    </x:row>
    <x:row r="123">
      <x:c r="A123" s="13"/>
      <x:c r="B123" s="13"/>
      <x:c r="C123" s="13"/>
      <x:c r="D123" s="13"/>
      <x:c r="E123" s="13"/>
      <x:c r="F123" s="13"/>
      <x:c r="G123" s="13"/>
      <x:c r="H123" s="22"/>
      <x:c r="I123" s="22"/>
      <x:c r="J123" s="22" t="str">
        <x:f>IF(OR(H123="",I123=""),"",H123*I123)</x:f>
      </x:c>
      <x:c r="K123" s="22"/>
      <x:c r="L123" s="22"/>
      <x:c r="M123" s="22" t="str">
        <x:f>IF(J123="","",J123+IF(K123="",0,K123)+IF(L123="",0,L123))</x:f>
      </x:c>
      <x:c r="N123" s="22"/>
      <x:c r="O123" s="22" t="str">
        <x:f>IF(OR(N123="",M123=""),"",N123-M123)</x:f>
      </x:c>
      <x:c r="P123" s="24" t="str">
        <x:f>IFERROR(O123/N123,"")</x:f>
      </x:c>
      <x:c r="Q123" s="13"/>
      <x:c r="R123" s="13"/>
      <x:c r="S123" s="13" t="str">
        <x:f>IF(AND(D123="Можно заказывать",R123="Да",O123&gt;0),"GO","STOP")</x:f>
        <x:v>STOP</x:v>
      </x:c>
      <x:c r="T123" s="13"/>
    </x:row>
    <x:row r="124">
      <x:c r="A124" s="13"/>
      <x:c r="B124" s="13"/>
      <x:c r="C124" s="13"/>
      <x:c r="D124" s="13"/>
      <x:c r="E124" s="13"/>
      <x:c r="F124" s="13"/>
      <x:c r="G124" s="13"/>
      <x:c r="H124" s="22"/>
      <x:c r="I124" s="22"/>
      <x:c r="J124" s="22" t="str">
        <x:f>IF(OR(H124="",I124=""),"",H124*I124)</x:f>
      </x:c>
      <x:c r="K124" s="22"/>
      <x:c r="L124" s="22"/>
      <x:c r="M124" s="22" t="str">
        <x:f>IF(J124="","",J124+IF(K124="",0,K124)+IF(L124="",0,L124))</x:f>
      </x:c>
      <x:c r="N124" s="22"/>
      <x:c r="O124" s="22" t="str">
        <x:f>IF(OR(N124="",M124=""),"",N124-M124)</x:f>
      </x:c>
      <x:c r="P124" s="24" t="str">
        <x:f>IFERROR(O124/N124,"")</x:f>
      </x:c>
      <x:c r="Q124" s="13"/>
      <x:c r="R124" s="13"/>
      <x:c r="S124" s="13" t="str">
        <x:f>IF(AND(D124="Можно заказывать",R124="Да",O124&gt;0),"GO","STOP")</x:f>
        <x:v>STOP</x:v>
      </x:c>
      <x:c r="T124" s="13"/>
    </x:row>
    <x:row r="125">
      <x:c r="A125" s="13"/>
      <x:c r="B125" s="13"/>
      <x:c r="C125" s="13"/>
      <x:c r="D125" s="13"/>
      <x:c r="E125" s="13"/>
      <x:c r="F125" s="13"/>
      <x:c r="G125" s="13"/>
      <x:c r="H125" s="22"/>
      <x:c r="I125" s="22"/>
      <x:c r="J125" s="22" t="str">
        <x:f>IF(OR(H125="",I125=""),"",H125*I125)</x:f>
      </x:c>
      <x:c r="K125" s="22"/>
      <x:c r="L125" s="22"/>
      <x:c r="M125" s="22" t="str">
        <x:f>IF(J125="","",J125+IF(K125="",0,K125)+IF(L125="",0,L125))</x:f>
      </x:c>
      <x:c r="N125" s="22"/>
      <x:c r="O125" s="22" t="str">
        <x:f>IF(OR(N125="",M125=""),"",N125-M125)</x:f>
      </x:c>
      <x:c r="P125" s="24" t="str">
        <x:f>IFERROR(O125/N125,"")</x:f>
      </x:c>
      <x:c r="Q125" s="13"/>
      <x:c r="R125" s="13"/>
      <x:c r="S125" s="13" t="str">
        <x:f>IF(AND(D125="Можно заказывать",R125="Да",O125&gt;0),"GO","STOP")</x:f>
        <x:v>STOP</x:v>
      </x:c>
      <x:c r="T125" s="13"/>
    </x:row>
    <x:row r="126">
      <x:c r="A126" s="13"/>
      <x:c r="B126" s="13"/>
      <x:c r="C126" s="13"/>
      <x:c r="D126" s="13"/>
      <x:c r="E126" s="13"/>
      <x:c r="F126" s="13"/>
      <x:c r="G126" s="13"/>
      <x:c r="H126" s="22"/>
      <x:c r="I126" s="22"/>
      <x:c r="J126" s="22" t="str">
        <x:f>IF(OR(H126="",I126=""),"",H126*I126)</x:f>
      </x:c>
      <x:c r="K126" s="22"/>
      <x:c r="L126" s="22"/>
      <x:c r="M126" s="22" t="str">
        <x:f>IF(J126="","",J126+IF(K126="",0,K126)+IF(L126="",0,L126))</x:f>
      </x:c>
      <x:c r="N126" s="22"/>
      <x:c r="O126" s="22" t="str">
        <x:f>IF(OR(N126="",M126=""),"",N126-M126)</x:f>
      </x:c>
      <x:c r="P126" s="24" t="str">
        <x:f>IFERROR(O126/N126,"")</x:f>
      </x:c>
      <x:c r="Q126" s="13"/>
      <x:c r="R126" s="13"/>
      <x:c r="S126" s="13" t="str">
        <x:f>IF(AND(D126="Можно заказывать",R126="Да",O126&gt;0),"GO","STOP")</x:f>
        <x:v>STOP</x:v>
      </x:c>
      <x:c r="T126" s="13"/>
    </x:row>
    <x:row r="127">
      <x:c r="A127" s="13"/>
      <x:c r="B127" s="13"/>
      <x:c r="C127" s="13"/>
      <x:c r="D127" s="13"/>
      <x:c r="E127" s="13"/>
      <x:c r="F127" s="13"/>
      <x:c r="G127" s="13"/>
      <x:c r="H127" s="22"/>
      <x:c r="I127" s="22"/>
      <x:c r="J127" s="22" t="str">
        <x:f>IF(OR(H127="",I127=""),"",H127*I127)</x:f>
      </x:c>
      <x:c r="K127" s="22"/>
      <x:c r="L127" s="22"/>
      <x:c r="M127" s="22" t="str">
        <x:f>IF(J127="","",J127+IF(K127="",0,K127)+IF(L127="",0,L127))</x:f>
      </x:c>
      <x:c r="N127" s="22"/>
      <x:c r="O127" s="22" t="str">
        <x:f>IF(OR(N127="",M127=""),"",N127-M127)</x:f>
      </x:c>
      <x:c r="P127" s="24" t="str">
        <x:f>IFERROR(O127/N127,"")</x:f>
      </x:c>
      <x:c r="Q127" s="13"/>
      <x:c r="R127" s="13"/>
      <x:c r="S127" s="13" t="str">
        <x:f>IF(AND(D127="Можно заказывать",R127="Да",O127&gt;0),"GO","STOP")</x:f>
        <x:v>STOP</x:v>
      </x:c>
      <x:c r="T127" s="13"/>
    </x:row>
    <x:row r="128">
      <x:c r="A128" s="13"/>
      <x:c r="B128" s="13"/>
      <x:c r="C128" s="13"/>
      <x:c r="D128" s="13"/>
      <x:c r="E128" s="13"/>
      <x:c r="F128" s="13"/>
      <x:c r="G128" s="13"/>
      <x:c r="H128" s="22"/>
      <x:c r="I128" s="22"/>
      <x:c r="J128" s="22" t="str">
        <x:f>IF(OR(H128="",I128=""),"",H128*I128)</x:f>
      </x:c>
      <x:c r="K128" s="22"/>
      <x:c r="L128" s="22"/>
      <x:c r="M128" s="22" t="str">
        <x:f>IF(J128="","",J128+IF(K128="",0,K128)+IF(L128="",0,L128))</x:f>
      </x:c>
      <x:c r="N128" s="22"/>
      <x:c r="O128" s="22" t="str">
        <x:f>IF(OR(N128="",M128=""),"",N128-M128)</x:f>
      </x:c>
      <x:c r="P128" s="24" t="str">
        <x:f>IFERROR(O128/N128,"")</x:f>
      </x:c>
      <x:c r="Q128" s="13"/>
      <x:c r="R128" s="13"/>
      <x:c r="S128" s="13" t="str">
        <x:f>IF(AND(D128="Можно заказывать",R128="Да",O128&gt;0),"GO","STOP")</x:f>
        <x:v>STOP</x:v>
      </x:c>
      <x:c r="T128" s="13"/>
    </x:row>
    <x:row r="129">
      <x:c r="A129" s="13"/>
      <x:c r="B129" s="13"/>
      <x:c r="C129" s="13"/>
      <x:c r="D129" s="13"/>
      <x:c r="E129" s="13"/>
      <x:c r="F129" s="13"/>
      <x:c r="G129" s="13"/>
      <x:c r="H129" s="22"/>
      <x:c r="I129" s="22"/>
      <x:c r="J129" s="22" t="str">
        <x:f>IF(OR(H129="",I129=""),"",H129*I129)</x:f>
      </x:c>
      <x:c r="K129" s="22"/>
      <x:c r="L129" s="22"/>
      <x:c r="M129" s="22" t="str">
        <x:f>IF(J129="","",J129+IF(K129="",0,K129)+IF(L129="",0,L129))</x:f>
      </x:c>
      <x:c r="N129" s="22"/>
      <x:c r="O129" s="22" t="str">
        <x:f>IF(OR(N129="",M129=""),"",N129-M129)</x:f>
      </x:c>
      <x:c r="P129" s="24" t="str">
        <x:f>IFERROR(O129/N129,"")</x:f>
      </x:c>
      <x:c r="Q129" s="13"/>
      <x:c r="R129" s="13"/>
      <x:c r="S129" s="13" t="str">
        <x:f>IF(AND(D129="Можно заказывать",R129="Да",O129&gt;0),"GO","STOP")</x:f>
        <x:v>STOP</x:v>
      </x:c>
      <x:c r="T129" s="13"/>
    </x:row>
    <x:row r="130">
      <x:c r="A130" s="13"/>
      <x:c r="B130" s="13"/>
      <x:c r="C130" s="13"/>
      <x:c r="D130" s="13"/>
      <x:c r="E130" s="13"/>
      <x:c r="F130" s="13"/>
      <x:c r="G130" s="13"/>
      <x:c r="H130" s="22"/>
      <x:c r="I130" s="22"/>
      <x:c r="J130" s="22" t="str">
        <x:f>IF(OR(H130="",I130=""),"",H130*I130)</x:f>
      </x:c>
      <x:c r="K130" s="22"/>
      <x:c r="L130" s="22"/>
      <x:c r="M130" s="22" t="str">
        <x:f>IF(J130="","",J130+IF(K130="",0,K130)+IF(L130="",0,L130))</x:f>
      </x:c>
      <x:c r="N130" s="22"/>
      <x:c r="O130" s="22" t="str">
        <x:f>IF(OR(N130="",M130=""),"",N130-M130)</x:f>
      </x:c>
      <x:c r="P130" s="24" t="str">
        <x:f>IFERROR(O130/N130,"")</x:f>
      </x:c>
      <x:c r="Q130" s="13"/>
      <x:c r="R130" s="13"/>
      <x:c r="S130" s="13" t="str">
        <x:f>IF(AND(D130="Можно заказывать",R130="Да",O130&gt;0),"GO","STOP")</x:f>
        <x:v>STOP</x:v>
      </x:c>
      <x:c r="T130" s="13"/>
    </x:row>
    <x:row r="131">
      <x:c r="A131" s="13"/>
      <x:c r="B131" s="13"/>
      <x:c r="C131" s="13"/>
      <x:c r="D131" s="13"/>
      <x:c r="E131" s="13"/>
      <x:c r="F131" s="13"/>
      <x:c r="G131" s="13"/>
      <x:c r="H131" s="22"/>
      <x:c r="I131" s="22"/>
      <x:c r="J131" s="22" t="str">
        <x:f>IF(OR(H131="",I131=""),"",H131*I131)</x:f>
      </x:c>
      <x:c r="K131" s="22"/>
      <x:c r="L131" s="22"/>
      <x:c r="M131" s="22" t="str">
        <x:f>IF(J131="","",J131+IF(K131="",0,K131)+IF(L131="",0,L131))</x:f>
      </x:c>
      <x:c r="N131" s="22"/>
      <x:c r="O131" s="22" t="str">
        <x:f>IF(OR(N131="",M131=""),"",N131-M131)</x:f>
      </x:c>
      <x:c r="P131" s="24" t="str">
        <x:f>IFERROR(O131/N131,"")</x:f>
      </x:c>
      <x:c r="Q131" s="13"/>
      <x:c r="R131" s="13"/>
      <x:c r="S131" s="13" t="str">
        <x:f>IF(AND(D131="Можно заказывать",R131="Да",O131&gt;0),"GO","STOP")</x:f>
        <x:v>STOP</x:v>
      </x:c>
      <x:c r="T131" s="13"/>
    </x:row>
    <x:row r="132">
      <x:c r="A132" s="13"/>
      <x:c r="B132" s="13"/>
      <x:c r="C132" s="13"/>
      <x:c r="D132" s="13"/>
      <x:c r="E132" s="13"/>
      <x:c r="F132" s="13"/>
      <x:c r="G132" s="13"/>
      <x:c r="H132" s="22"/>
      <x:c r="I132" s="22"/>
      <x:c r="J132" s="22" t="str">
        <x:f>IF(OR(H132="",I132=""),"",H132*I132)</x:f>
      </x:c>
      <x:c r="K132" s="22"/>
      <x:c r="L132" s="22"/>
      <x:c r="M132" s="22" t="str">
        <x:f>IF(J132="","",J132+IF(K132="",0,K132)+IF(L132="",0,L132))</x:f>
      </x:c>
      <x:c r="N132" s="22"/>
      <x:c r="O132" s="22" t="str">
        <x:f>IF(OR(N132="",M132=""),"",N132-M132)</x:f>
      </x:c>
      <x:c r="P132" s="24" t="str">
        <x:f>IFERROR(O132/N132,"")</x:f>
      </x:c>
      <x:c r="Q132" s="13"/>
      <x:c r="R132" s="13"/>
      <x:c r="S132" s="13" t="str">
        <x:f>IF(AND(D132="Можно заказывать",R132="Да",O132&gt;0),"GO","STOP")</x:f>
        <x:v>STOP</x:v>
      </x:c>
      <x:c r="T132" s="13"/>
    </x:row>
    <x:row r="133">
      <x:c r="A133" s="13"/>
      <x:c r="B133" s="13"/>
      <x:c r="C133" s="13"/>
      <x:c r="D133" s="13"/>
      <x:c r="E133" s="13"/>
      <x:c r="F133" s="13"/>
      <x:c r="G133" s="13"/>
      <x:c r="H133" s="22"/>
      <x:c r="I133" s="22"/>
      <x:c r="J133" s="22" t="str">
        <x:f>IF(OR(H133="",I133=""),"",H133*I133)</x:f>
      </x:c>
      <x:c r="K133" s="22"/>
      <x:c r="L133" s="22"/>
      <x:c r="M133" s="22" t="str">
        <x:f>IF(J133="","",J133+IF(K133="",0,K133)+IF(L133="",0,L133))</x:f>
      </x:c>
      <x:c r="N133" s="22"/>
      <x:c r="O133" s="22" t="str">
        <x:f>IF(OR(N133="",M133=""),"",N133-M133)</x:f>
      </x:c>
      <x:c r="P133" s="24" t="str">
        <x:f>IFERROR(O133/N133,"")</x:f>
      </x:c>
      <x:c r="Q133" s="13"/>
      <x:c r="R133" s="13"/>
      <x:c r="S133" s="13" t="str">
        <x:f>IF(AND(D133="Можно заказывать",R133="Да",O133&gt;0),"GO","STOP")</x:f>
        <x:v>STOP</x:v>
      </x:c>
      <x:c r="T133" s="13"/>
    </x:row>
    <x:row r="134">
      <x:c r="A134" s="13"/>
      <x:c r="B134" s="13"/>
      <x:c r="C134" s="13"/>
      <x:c r="D134" s="13"/>
      <x:c r="E134" s="13"/>
      <x:c r="F134" s="13"/>
      <x:c r="G134" s="13"/>
      <x:c r="H134" s="22"/>
      <x:c r="I134" s="22"/>
      <x:c r="J134" s="22" t="str">
        <x:f>IF(OR(H134="",I134=""),"",H134*I134)</x:f>
      </x:c>
      <x:c r="K134" s="22"/>
      <x:c r="L134" s="22"/>
      <x:c r="M134" s="22" t="str">
        <x:f>IF(J134="","",J134+IF(K134="",0,K134)+IF(L134="",0,L134))</x:f>
      </x:c>
      <x:c r="N134" s="22"/>
      <x:c r="O134" s="22" t="str">
        <x:f>IF(OR(N134="",M134=""),"",N134-M134)</x:f>
      </x:c>
      <x:c r="P134" s="24" t="str">
        <x:f>IFERROR(O134/N134,"")</x:f>
      </x:c>
      <x:c r="Q134" s="13"/>
      <x:c r="R134" s="13"/>
      <x:c r="S134" s="13" t="str">
        <x:f>IF(AND(D134="Можно заказывать",R134="Да",O134&gt;0),"GO","STOP")</x:f>
        <x:v>STOP</x:v>
      </x:c>
      <x:c r="T134" s="13"/>
    </x:row>
    <x:row r="135">
      <x:c r="A135" s="13"/>
      <x:c r="B135" s="13"/>
      <x:c r="C135" s="13"/>
      <x:c r="D135" s="13"/>
      <x:c r="E135" s="13"/>
      <x:c r="F135" s="13"/>
      <x:c r="G135" s="13"/>
      <x:c r="H135" s="22"/>
      <x:c r="I135" s="22"/>
      <x:c r="J135" s="22" t="str">
        <x:f>IF(OR(H135="",I135=""),"",H135*I135)</x:f>
      </x:c>
      <x:c r="K135" s="22"/>
      <x:c r="L135" s="22"/>
      <x:c r="M135" s="22" t="str">
        <x:f>IF(J135="","",J135+IF(K135="",0,K135)+IF(L135="",0,L135))</x:f>
      </x:c>
      <x:c r="N135" s="22"/>
      <x:c r="O135" s="22" t="str">
        <x:f>IF(OR(N135="",M135=""),"",N135-M135)</x:f>
      </x:c>
      <x:c r="P135" s="24" t="str">
        <x:f>IFERROR(O135/N135,"")</x:f>
      </x:c>
      <x:c r="Q135" s="13"/>
      <x:c r="R135" s="13"/>
      <x:c r="S135" s="13" t="str">
        <x:f>IF(AND(D135="Можно заказывать",R135="Да",O135&gt;0),"GO","STOP")</x:f>
        <x:v>STOP</x:v>
      </x:c>
      <x:c r="T135" s="13"/>
    </x:row>
    <x:row r="136">
      <x:c r="A136" s="13"/>
      <x:c r="B136" s="13"/>
      <x:c r="C136" s="13"/>
      <x:c r="D136" s="13"/>
      <x:c r="E136" s="13"/>
      <x:c r="F136" s="13"/>
      <x:c r="G136" s="13"/>
      <x:c r="H136" s="22"/>
      <x:c r="I136" s="22"/>
      <x:c r="J136" s="22" t="str">
        <x:f>IF(OR(H136="",I136=""),"",H136*I136)</x:f>
      </x:c>
      <x:c r="K136" s="22"/>
      <x:c r="L136" s="22"/>
      <x:c r="M136" s="22" t="str">
        <x:f>IF(J136="","",J136+IF(K136="",0,K136)+IF(L136="",0,L136))</x:f>
      </x:c>
      <x:c r="N136" s="22"/>
      <x:c r="O136" s="22" t="str">
        <x:f>IF(OR(N136="",M136=""),"",N136-M136)</x:f>
      </x:c>
      <x:c r="P136" s="24" t="str">
        <x:f>IFERROR(O136/N136,"")</x:f>
      </x:c>
      <x:c r="Q136" s="13"/>
      <x:c r="R136" s="13"/>
      <x:c r="S136" s="13" t="str">
        <x:f>IF(AND(D136="Можно заказывать",R136="Да",O136&gt;0),"GO","STOP")</x:f>
        <x:v>STOP</x:v>
      </x:c>
      <x:c r="T136" s="13"/>
    </x:row>
    <x:row r="137">
      <x:c r="A137" s="13"/>
      <x:c r="B137" s="13"/>
      <x:c r="C137" s="13"/>
      <x:c r="D137" s="13"/>
      <x:c r="E137" s="13"/>
      <x:c r="F137" s="13"/>
      <x:c r="G137" s="13"/>
      <x:c r="H137" s="22"/>
      <x:c r="I137" s="22"/>
      <x:c r="J137" s="22" t="str">
        <x:f>IF(OR(H137="",I137=""),"",H137*I137)</x:f>
      </x:c>
      <x:c r="K137" s="22"/>
      <x:c r="L137" s="22"/>
      <x:c r="M137" s="22" t="str">
        <x:f>IF(J137="","",J137+IF(K137="",0,K137)+IF(L137="",0,L137))</x:f>
      </x:c>
      <x:c r="N137" s="22"/>
      <x:c r="O137" s="22" t="str">
        <x:f>IF(OR(N137="",M137=""),"",N137-M137)</x:f>
      </x:c>
      <x:c r="P137" s="24" t="str">
        <x:f>IFERROR(O137/N137,"")</x:f>
      </x:c>
      <x:c r="Q137" s="13"/>
      <x:c r="R137" s="13"/>
      <x:c r="S137" s="13" t="str">
        <x:f>IF(AND(D137="Можно заказывать",R137="Да",O137&gt;0),"GO","STOP")</x:f>
        <x:v>STOP</x:v>
      </x:c>
      <x:c r="T137" s="13"/>
    </x:row>
    <x:row r="138">
      <x:c r="A138" s="13"/>
      <x:c r="B138" s="13"/>
      <x:c r="C138" s="13"/>
      <x:c r="D138" s="13"/>
      <x:c r="E138" s="13"/>
      <x:c r="F138" s="13"/>
      <x:c r="G138" s="13"/>
      <x:c r="H138" s="22"/>
      <x:c r="I138" s="22"/>
      <x:c r="J138" s="22" t="str">
        <x:f>IF(OR(H138="",I138=""),"",H138*I138)</x:f>
      </x:c>
      <x:c r="K138" s="22"/>
      <x:c r="L138" s="22"/>
      <x:c r="M138" s="22" t="str">
        <x:f>IF(J138="","",J138+IF(K138="",0,K138)+IF(L138="",0,L138))</x:f>
      </x:c>
      <x:c r="N138" s="22"/>
      <x:c r="O138" s="22" t="str">
        <x:f>IF(OR(N138="",M138=""),"",N138-M138)</x:f>
      </x:c>
      <x:c r="P138" s="24" t="str">
        <x:f>IFERROR(O138/N138,"")</x:f>
      </x:c>
      <x:c r="Q138" s="13"/>
      <x:c r="R138" s="13"/>
      <x:c r="S138" s="13" t="str">
        <x:f>IF(AND(D138="Можно заказывать",R138="Да",O138&gt;0),"GO","STOP")</x:f>
        <x:v>STOP</x:v>
      </x:c>
      <x:c r="T138" s="13"/>
    </x:row>
    <x:row r="139">
      <x:c r="A139" s="13"/>
      <x:c r="B139" s="13"/>
      <x:c r="C139" s="13"/>
      <x:c r="D139" s="13"/>
      <x:c r="E139" s="13"/>
      <x:c r="F139" s="13"/>
      <x:c r="G139" s="13"/>
      <x:c r="H139" s="22"/>
      <x:c r="I139" s="22"/>
      <x:c r="J139" s="22" t="str">
        <x:f>IF(OR(H139="",I139=""),"",H139*I139)</x:f>
      </x:c>
      <x:c r="K139" s="22"/>
      <x:c r="L139" s="22"/>
      <x:c r="M139" s="22" t="str">
        <x:f>IF(J139="","",J139+IF(K139="",0,K139)+IF(L139="",0,L139))</x:f>
      </x:c>
      <x:c r="N139" s="22"/>
      <x:c r="O139" s="22" t="str">
        <x:f>IF(OR(N139="",M139=""),"",N139-M139)</x:f>
      </x:c>
      <x:c r="P139" s="24" t="str">
        <x:f>IFERROR(O139/N139,"")</x:f>
      </x:c>
      <x:c r="Q139" s="13"/>
      <x:c r="R139" s="13"/>
      <x:c r="S139" s="13" t="str">
        <x:f>IF(AND(D139="Можно заказывать",R139="Да",O139&gt;0),"GO","STOP")</x:f>
        <x:v>STOP</x:v>
      </x:c>
      <x:c r="T139" s="13"/>
    </x:row>
    <x:row r="140">
      <x:c r="A140" s="13"/>
      <x:c r="B140" s="13"/>
      <x:c r="C140" s="13"/>
      <x:c r="D140" s="13"/>
      <x:c r="E140" s="13"/>
      <x:c r="F140" s="13"/>
      <x:c r="G140" s="13"/>
      <x:c r="H140" s="22"/>
      <x:c r="I140" s="22"/>
      <x:c r="J140" s="22" t="str">
        <x:f>IF(OR(H140="",I140=""),"",H140*I140)</x:f>
      </x:c>
      <x:c r="K140" s="22"/>
      <x:c r="L140" s="22"/>
      <x:c r="M140" s="22" t="str">
        <x:f>IF(J140="","",J140+IF(K140="",0,K140)+IF(L140="",0,L140))</x:f>
      </x:c>
      <x:c r="N140" s="22"/>
      <x:c r="O140" s="22" t="str">
        <x:f>IF(OR(N140="",M140=""),"",N140-M140)</x:f>
      </x:c>
      <x:c r="P140" s="24" t="str">
        <x:f>IFERROR(O140/N140,"")</x:f>
      </x:c>
      <x:c r="Q140" s="13"/>
      <x:c r="R140" s="13"/>
      <x:c r="S140" s="13" t="str">
        <x:f>IF(AND(D140="Можно заказывать",R140="Да",O140&gt;0),"GO","STOP")</x:f>
        <x:v>STOP</x:v>
      </x:c>
      <x:c r="T140" s="13"/>
    </x:row>
    <x:row r="141">
      <x:c r="A141" s="13"/>
      <x:c r="B141" s="13"/>
      <x:c r="C141" s="13"/>
      <x:c r="D141" s="13"/>
      <x:c r="E141" s="13"/>
      <x:c r="F141" s="13"/>
      <x:c r="G141" s="13"/>
      <x:c r="H141" s="22"/>
      <x:c r="I141" s="22"/>
      <x:c r="J141" s="22" t="str">
        <x:f>IF(OR(H141="",I141=""),"",H141*I141)</x:f>
      </x:c>
      <x:c r="K141" s="22"/>
      <x:c r="L141" s="22"/>
      <x:c r="M141" s="22" t="str">
        <x:f>IF(J141="","",J141+IF(K141="",0,K141)+IF(L141="",0,L141))</x:f>
      </x:c>
      <x:c r="N141" s="22"/>
      <x:c r="O141" s="22" t="str">
        <x:f>IF(OR(N141="",M141=""),"",N141-M141)</x:f>
      </x:c>
      <x:c r="P141" s="24" t="str">
        <x:f>IFERROR(O141/N141,"")</x:f>
      </x:c>
      <x:c r="Q141" s="13"/>
      <x:c r="R141" s="13"/>
      <x:c r="S141" s="13" t="str">
        <x:f>IF(AND(D141="Можно заказывать",R141="Да",O141&gt;0),"GO","STOP")</x:f>
        <x:v>STOP</x:v>
      </x:c>
      <x:c r="T141" s="13"/>
    </x:row>
    <x:row r="142">
      <x:c r="A142" s="13"/>
      <x:c r="B142" s="13"/>
      <x:c r="C142" s="13"/>
      <x:c r="D142" s="13"/>
      <x:c r="E142" s="13"/>
      <x:c r="F142" s="13"/>
      <x:c r="G142" s="13"/>
      <x:c r="H142" s="22"/>
      <x:c r="I142" s="22"/>
      <x:c r="J142" s="22" t="str">
        <x:f>IF(OR(H142="",I142=""),"",H142*I142)</x:f>
      </x:c>
      <x:c r="K142" s="22"/>
      <x:c r="L142" s="22"/>
      <x:c r="M142" s="22" t="str">
        <x:f>IF(J142="","",J142+IF(K142="",0,K142)+IF(L142="",0,L142))</x:f>
      </x:c>
      <x:c r="N142" s="22"/>
      <x:c r="O142" s="22" t="str">
        <x:f>IF(OR(N142="",M142=""),"",N142-M142)</x:f>
      </x:c>
      <x:c r="P142" s="24" t="str">
        <x:f>IFERROR(O142/N142,"")</x:f>
      </x:c>
      <x:c r="Q142" s="13"/>
      <x:c r="R142" s="13"/>
      <x:c r="S142" s="13" t="str">
        <x:f>IF(AND(D142="Можно заказывать",R142="Да",O142&gt;0),"GO","STOP")</x:f>
        <x:v>STOP</x:v>
      </x:c>
      <x:c r="T142" s="13"/>
    </x:row>
    <x:row r="143">
      <x:c r="A143" s="13"/>
      <x:c r="B143" s="13"/>
      <x:c r="C143" s="13"/>
      <x:c r="D143" s="13"/>
      <x:c r="E143" s="13"/>
      <x:c r="F143" s="13"/>
      <x:c r="G143" s="13"/>
      <x:c r="H143" s="22"/>
      <x:c r="I143" s="22"/>
      <x:c r="J143" s="22" t="str">
        <x:f>IF(OR(H143="",I143=""),"",H143*I143)</x:f>
      </x:c>
      <x:c r="K143" s="22"/>
      <x:c r="L143" s="22"/>
      <x:c r="M143" s="22" t="str">
        <x:f>IF(J143="","",J143+IF(K143="",0,K143)+IF(L143="",0,L143))</x:f>
      </x:c>
      <x:c r="N143" s="22"/>
      <x:c r="O143" s="22" t="str">
        <x:f>IF(OR(N143="",M143=""),"",N143-M143)</x:f>
      </x:c>
      <x:c r="P143" s="24" t="str">
        <x:f>IFERROR(O143/N143,"")</x:f>
      </x:c>
      <x:c r="Q143" s="13"/>
      <x:c r="R143" s="13"/>
      <x:c r="S143" s="13" t="str">
        <x:f>IF(AND(D143="Можно заказывать",R143="Да",O143&gt;0),"GO","STOP")</x:f>
        <x:v>STOP</x:v>
      </x:c>
      <x:c r="T143" s="13"/>
    </x:row>
    <x:row r="144">
      <x:c r="A144" s="13"/>
      <x:c r="B144" s="13"/>
      <x:c r="C144" s="13"/>
      <x:c r="D144" s="13"/>
      <x:c r="E144" s="13"/>
      <x:c r="F144" s="13"/>
      <x:c r="G144" s="13"/>
      <x:c r="H144" s="22"/>
      <x:c r="I144" s="22"/>
      <x:c r="J144" s="22" t="str">
        <x:f>IF(OR(H144="",I144=""),"",H144*I144)</x:f>
      </x:c>
      <x:c r="K144" s="22"/>
      <x:c r="L144" s="22"/>
      <x:c r="M144" s="22" t="str">
        <x:f>IF(J144="","",J144+IF(K144="",0,K144)+IF(L144="",0,L144))</x:f>
      </x:c>
      <x:c r="N144" s="22"/>
      <x:c r="O144" s="22" t="str">
        <x:f>IF(OR(N144="",M144=""),"",N144-M144)</x:f>
      </x:c>
      <x:c r="P144" s="24" t="str">
        <x:f>IFERROR(O144/N144,"")</x:f>
      </x:c>
      <x:c r="Q144" s="13"/>
      <x:c r="R144" s="13"/>
      <x:c r="S144" s="13" t="str">
        <x:f>IF(AND(D144="Можно заказывать",R144="Да",O144&gt;0),"GO","STOP")</x:f>
        <x:v>STOP</x:v>
      </x:c>
      <x:c r="T144" s="13"/>
    </x:row>
    <x:row r="145">
      <x:c r="A145" s="13"/>
      <x:c r="B145" s="13"/>
      <x:c r="C145" s="13"/>
      <x:c r="D145" s="13"/>
      <x:c r="E145" s="13"/>
      <x:c r="F145" s="13"/>
      <x:c r="G145" s="13"/>
      <x:c r="H145" s="22"/>
      <x:c r="I145" s="22"/>
      <x:c r="J145" s="22" t="str">
        <x:f>IF(OR(H145="",I145=""),"",H145*I145)</x:f>
      </x:c>
      <x:c r="K145" s="22"/>
      <x:c r="L145" s="22"/>
      <x:c r="M145" s="22" t="str">
        <x:f>IF(J145="","",J145+IF(K145="",0,K145)+IF(L145="",0,L145))</x:f>
      </x:c>
      <x:c r="N145" s="22"/>
      <x:c r="O145" s="22" t="str">
        <x:f>IF(OR(N145="",M145=""),"",N145-M145)</x:f>
      </x:c>
      <x:c r="P145" s="24" t="str">
        <x:f>IFERROR(O145/N145,"")</x:f>
      </x:c>
      <x:c r="Q145" s="13"/>
      <x:c r="R145" s="13"/>
      <x:c r="S145" s="13" t="str">
        <x:f>IF(AND(D145="Можно заказывать",R145="Да",O145&gt;0),"GO","STOP")</x:f>
        <x:v>STOP</x:v>
      </x:c>
      <x:c r="T145" s="13"/>
    </x:row>
    <x:row r="146">
      <x:c r="A146" s="13"/>
      <x:c r="B146" s="13"/>
      <x:c r="C146" s="13"/>
      <x:c r="D146" s="13"/>
      <x:c r="E146" s="13"/>
      <x:c r="F146" s="13"/>
      <x:c r="G146" s="13"/>
      <x:c r="H146" s="22"/>
      <x:c r="I146" s="22"/>
      <x:c r="J146" s="22" t="str">
        <x:f>IF(OR(H146="",I146=""),"",H146*I146)</x:f>
      </x:c>
      <x:c r="K146" s="22"/>
      <x:c r="L146" s="22"/>
      <x:c r="M146" s="22" t="str">
        <x:f>IF(J146="","",J146+IF(K146="",0,K146)+IF(L146="",0,L146))</x:f>
      </x:c>
      <x:c r="N146" s="22"/>
      <x:c r="O146" s="22" t="str">
        <x:f>IF(OR(N146="",M146=""),"",N146-M146)</x:f>
      </x:c>
      <x:c r="P146" s="24" t="str">
        <x:f>IFERROR(O146/N146,"")</x:f>
      </x:c>
      <x:c r="Q146" s="13"/>
      <x:c r="R146" s="13"/>
      <x:c r="S146" s="13" t="str">
        <x:f>IF(AND(D146="Можно заказывать",R146="Да",O146&gt;0),"GO","STOP")</x:f>
        <x:v>STOP</x:v>
      </x:c>
      <x:c r="T146" s="13"/>
    </x:row>
    <x:row r="147">
      <x:c r="A147" s="13"/>
      <x:c r="B147" s="13"/>
      <x:c r="C147" s="13"/>
      <x:c r="D147" s="13"/>
      <x:c r="E147" s="13"/>
      <x:c r="F147" s="13"/>
      <x:c r="G147" s="13"/>
      <x:c r="H147" s="22"/>
      <x:c r="I147" s="22"/>
      <x:c r="J147" s="22" t="str">
        <x:f>IF(OR(H147="",I147=""),"",H147*I147)</x:f>
      </x:c>
      <x:c r="K147" s="22"/>
      <x:c r="L147" s="22"/>
      <x:c r="M147" s="22" t="str">
        <x:f>IF(J147="","",J147+IF(K147="",0,K147)+IF(L147="",0,L147))</x:f>
      </x:c>
      <x:c r="N147" s="22"/>
      <x:c r="O147" s="22" t="str">
        <x:f>IF(OR(N147="",M147=""),"",N147-M147)</x:f>
      </x:c>
      <x:c r="P147" s="24" t="str">
        <x:f>IFERROR(O147/N147,"")</x:f>
      </x:c>
      <x:c r="Q147" s="13"/>
      <x:c r="R147" s="13"/>
      <x:c r="S147" s="13" t="str">
        <x:f>IF(AND(D147="Можно заказывать",R147="Да",O147&gt;0),"GO","STOP")</x:f>
        <x:v>STOP</x:v>
      </x:c>
      <x:c r="T147" s="13"/>
    </x:row>
    <x:row r="148">
      <x:c r="A148" s="13"/>
      <x:c r="B148" s="13"/>
      <x:c r="C148" s="13"/>
      <x:c r="D148" s="13"/>
      <x:c r="E148" s="13"/>
      <x:c r="F148" s="13"/>
      <x:c r="G148" s="13"/>
      <x:c r="H148" s="22"/>
      <x:c r="I148" s="22"/>
      <x:c r="J148" s="22" t="str">
        <x:f>IF(OR(H148="",I148=""),"",H148*I148)</x:f>
      </x:c>
      <x:c r="K148" s="22"/>
      <x:c r="L148" s="22"/>
      <x:c r="M148" s="22" t="str">
        <x:f>IF(J148="","",J148+IF(K148="",0,K148)+IF(L148="",0,L148))</x:f>
      </x:c>
      <x:c r="N148" s="22"/>
      <x:c r="O148" s="22" t="str">
        <x:f>IF(OR(N148="",M148=""),"",N148-M148)</x:f>
      </x:c>
      <x:c r="P148" s="24" t="str">
        <x:f>IFERROR(O148/N148,"")</x:f>
      </x:c>
      <x:c r="Q148" s="13"/>
      <x:c r="R148" s="13"/>
      <x:c r="S148" s="13" t="str">
        <x:f>IF(AND(D148="Можно заказывать",R148="Да",O148&gt;0),"GO","STOP")</x:f>
        <x:v>STOP</x:v>
      </x:c>
      <x:c r="T148" s="13"/>
    </x:row>
    <x:row r="149">
      <x:c r="A149" s="13"/>
      <x:c r="B149" s="13"/>
      <x:c r="C149" s="13"/>
      <x:c r="D149" s="13"/>
      <x:c r="E149" s="13"/>
      <x:c r="F149" s="13"/>
      <x:c r="G149" s="13"/>
      <x:c r="H149" s="22"/>
      <x:c r="I149" s="22"/>
      <x:c r="J149" s="22" t="str">
        <x:f>IF(OR(H149="",I149=""),"",H149*I149)</x:f>
      </x:c>
      <x:c r="K149" s="22"/>
      <x:c r="L149" s="22"/>
      <x:c r="M149" s="22" t="str">
        <x:f>IF(J149="","",J149+IF(K149="",0,K149)+IF(L149="",0,L149))</x:f>
      </x:c>
      <x:c r="N149" s="22"/>
      <x:c r="O149" s="22" t="str">
        <x:f>IF(OR(N149="",M149=""),"",N149-M149)</x:f>
      </x:c>
      <x:c r="P149" s="24" t="str">
        <x:f>IFERROR(O149/N149,"")</x:f>
      </x:c>
      <x:c r="Q149" s="13"/>
      <x:c r="R149" s="13"/>
      <x:c r="S149" s="13" t="str">
        <x:f>IF(AND(D149="Можно заказывать",R149="Да",O149&gt;0),"GO","STOP")</x:f>
        <x:v>STOP</x:v>
      </x:c>
      <x:c r="T149" s="13"/>
    </x:row>
    <x:row r="150">
      <x:c r="A150" s="13"/>
      <x:c r="B150" s="13"/>
      <x:c r="C150" s="13"/>
      <x:c r="D150" s="13"/>
      <x:c r="E150" s="13"/>
      <x:c r="F150" s="13"/>
      <x:c r="G150" s="13"/>
      <x:c r="H150" s="22"/>
      <x:c r="I150" s="22"/>
      <x:c r="J150" s="22" t="str">
        <x:f>IF(OR(H150="",I150=""),"",H150*I150)</x:f>
      </x:c>
      <x:c r="K150" s="22"/>
      <x:c r="L150" s="22"/>
      <x:c r="M150" s="22" t="str">
        <x:f>IF(J150="","",J150+IF(K150="",0,K150)+IF(L150="",0,L150))</x:f>
      </x:c>
      <x:c r="N150" s="22"/>
      <x:c r="O150" s="22" t="str">
        <x:f>IF(OR(N150="",M150=""),"",N150-M150)</x:f>
      </x:c>
      <x:c r="P150" s="24" t="str">
        <x:f>IFERROR(O150/N150,"")</x:f>
      </x:c>
      <x:c r="Q150" s="13"/>
      <x:c r="R150" s="13"/>
      <x:c r="S150" s="13" t="str">
        <x:f>IF(AND(D150="Можно заказывать",R150="Да",O150&gt;0),"GO","STOP")</x:f>
        <x:v>STOP</x:v>
      </x:c>
      <x:c r="T150" s="13"/>
    </x:row>
    <x:row r="151">
      <x:c r="A151" s="13"/>
      <x:c r="B151" s="13"/>
      <x:c r="C151" s="13"/>
      <x:c r="D151" s="13"/>
      <x:c r="E151" s="13"/>
      <x:c r="F151" s="13"/>
      <x:c r="G151" s="13"/>
      <x:c r="H151" s="22"/>
      <x:c r="I151" s="22"/>
      <x:c r="J151" s="22" t="str">
        <x:f>IF(OR(H151="",I151=""),"",H151*I151)</x:f>
      </x:c>
      <x:c r="K151" s="22"/>
      <x:c r="L151" s="22"/>
      <x:c r="M151" s="22" t="str">
        <x:f>IF(J151="","",J151+IF(K151="",0,K151)+IF(L151="",0,L151))</x:f>
      </x:c>
      <x:c r="N151" s="22"/>
      <x:c r="O151" s="22" t="str">
        <x:f>IF(OR(N151="",M151=""),"",N151-M151)</x:f>
      </x:c>
      <x:c r="P151" s="24" t="str">
        <x:f>IFERROR(O151/N151,"")</x:f>
      </x:c>
      <x:c r="Q151" s="13"/>
      <x:c r="R151" s="13"/>
      <x:c r="S151" s="13" t="str">
        <x:f>IF(AND(D151="Можно заказывать",R151="Да",O151&gt;0),"GO","STOP")</x:f>
        <x:v>STOP</x:v>
      </x:c>
      <x:c r="T151" s="13"/>
    </x:row>
    <x:row r="152">
      <x:c r="A152" s="13"/>
      <x:c r="B152" s="13"/>
      <x:c r="C152" s="13"/>
      <x:c r="D152" s="13"/>
      <x:c r="E152" s="13"/>
      <x:c r="F152" s="13"/>
      <x:c r="G152" s="13"/>
      <x:c r="H152" s="22"/>
      <x:c r="I152" s="22"/>
      <x:c r="J152" s="22" t="str">
        <x:f>IF(OR(H152="",I152=""),"",H152*I152)</x:f>
      </x:c>
      <x:c r="K152" s="22"/>
      <x:c r="L152" s="22"/>
      <x:c r="M152" s="22" t="str">
        <x:f>IF(J152="","",J152+IF(K152="",0,K152)+IF(L152="",0,L152))</x:f>
      </x:c>
      <x:c r="N152" s="22"/>
      <x:c r="O152" s="22" t="str">
        <x:f>IF(OR(N152="",M152=""),"",N152-M152)</x:f>
      </x:c>
      <x:c r="P152" s="24" t="str">
        <x:f>IFERROR(O152/N152,"")</x:f>
      </x:c>
      <x:c r="Q152" s="13"/>
      <x:c r="R152" s="13"/>
      <x:c r="S152" s="13" t="str">
        <x:f>IF(AND(D152="Можно заказывать",R152="Да",O152&gt;0),"GO","STOP")</x:f>
        <x:v>STOP</x:v>
      </x:c>
      <x:c r="T152" s="13"/>
    </x:row>
    <x:row r="153">
      <x:c r="A153" s="13"/>
      <x:c r="B153" s="13"/>
      <x:c r="C153" s="13"/>
      <x:c r="D153" s="13"/>
      <x:c r="E153" s="13"/>
      <x:c r="F153" s="13"/>
      <x:c r="G153" s="13"/>
      <x:c r="H153" s="22"/>
      <x:c r="I153" s="22"/>
      <x:c r="J153" s="22" t="str">
        <x:f>IF(OR(H153="",I153=""),"",H153*I153)</x:f>
      </x:c>
      <x:c r="K153" s="22"/>
      <x:c r="L153" s="22"/>
      <x:c r="M153" s="22" t="str">
        <x:f>IF(J153="","",J153+IF(K153="",0,K153)+IF(L153="",0,L153))</x:f>
      </x:c>
      <x:c r="N153" s="22"/>
      <x:c r="O153" s="22" t="str">
        <x:f>IF(OR(N153="",M153=""),"",N153-M153)</x:f>
      </x:c>
      <x:c r="P153" s="24" t="str">
        <x:f>IFERROR(O153/N153,"")</x:f>
      </x:c>
      <x:c r="Q153" s="13"/>
      <x:c r="R153" s="13"/>
      <x:c r="S153" s="13" t="str">
        <x:f>IF(AND(D153="Можно заказывать",R153="Да",O153&gt;0),"GO","STOP")</x:f>
        <x:v>STOP</x:v>
      </x:c>
      <x:c r="T153" s="13"/>
    </x:row>
    <x:row r="154">
      <x:c r="A154" s="13"/>
      <x:c r="B154" s="13"/>
      <x:c r="C154" s="13"/>
      <x:c r="D154" s="13"/>
      <x:c r="E154" s="13"/>
      <x:c r="F154" s="13"/>
      <x:c r="G154" s="13"/>
      <x:c r="H154" s="22"/>
      <x:c r="I154" s="22"/>
      <x:c r="J154" s="22" t="str">
        <x:f>IF(OR(H154="",I154=""),"",H154*I154)</x:f>
      </x:c>
      <x:c r="K154" s="22"/>
      <x:c r="L154" s="22"/>
      <x:c r="M154" s="22" t="str">
        <x:f>IF(J154="","",J154+IF(K154="",0,K154)+IF(L154="",0,L154))</x:f>
      </x:c>
      <x:c r="N154" s="22"/>
      <x:c r="O154" s="22" t="str">
        <x:f>IF(OR(N154="",M154=""),"",N154-M154)</x:f>
      </x:c>
      <x:c r="P154" s="24" t="str">
        <x:f>IFERROR(O154/N154,"")</x:f>
      </x:c>
      <x:c r="Q154" s="13"/>
      <x:c r="R154" s="13"/>
      <x:c r="S154" s="13" t="str">
        <x:f>IF(AND(D154="Можно заказывать",R154="Да",O154&gt;0),"GO","STOP")</x:f>
        <x:v>STOP</x:v>
      </x:c>
      <x:c r="T154" s="13"/>
    </x:row>
    <x:row r="155">
      <x:c r="A155" s="13"/>
      <x:c r="B155" s="13"/>
      <x:c r="C155" s="13"/>
      <x:c r="D155" s="13"/>
      <x:c r="E155" s="13"/>
      <x:c r="F155" s="13"/>
      <x:c r="G155" s="13"/>
      <x:c r="H155" s="22"/>
      <x:c r="I155" s="22"/>
      <x:c r="J155" s="22" t="str">
        <x:f>IF(OR(H155="",I155=""),"",H155*I155)</x:f>
      </x:c>
      <x:c r="K155" s="22"/>
      <x:c r="L155" s="22"/>
      <x:c r="M155" s="22" t="str">
        <x:f>IF(J155="","",J155+IF(K155="",0,K155)+IF(L155="",0,L155))</x:f>
      </x:c>
      <x:c r="N155" s="22"/>
      <x:c r="O155" s="22" t="str">
        <x:f>IF(OR(N155="",M155=""),"",N155-M155)</x:f>
      </x:c>
      <x:c r="P155" s="24" t="str">
        <x:f>IFERROR(O155/N155,"")</x:f>
      </x:c>
      <x:c r="Q155" s="13"/>
      <x:c r="R155" s="13"/>
      <x:c r="S155" s="13" t="str">
        <x:f>IF(AND(D155="Можно заказывать",R155="Да",O155&gt;0),"GO","STOP")</x:f>
        <x:v>STOP</x:v>
      </x:c>
      <x:c r="T155" s="13"/>
    </x:row>
    <x:row r="156">
      <x:c r="A156" s="13"/>
      <x:c r="B156" s="13"/>
      <x:c r="C156" s="13"/>
      <x:c r="D156" s="13"/>
      <x:c r="E156" s="13"/>
      <x:c r="F156" s="13"/>
      <x:c r="G156" s="13"/>
      <x:c r="H156" s="22"/>
      <x:c r="I156" s="22"/>
      <x:c r="J156" s="22" t="str">
        <x:f>IF(OR(H156="",I156=""),"",H156*I156)</x:f>
      </x:c>
      <x:c r="K156" s="22"/>
      <x:c r="L156" s="22"/>
      <x:c r="M156" s="22" t="str">
        <x:f>IF(J156="","",J156+IF(K156="",0,K156)+IF(L156="",0,L156))</x:f>
      </x:c>
      <x:c r="N156" s="22"/>
      <x:c r="O156" s="22" t="str">
        <x:f>IF(OR(N156="",M156=""),"",N156-M156)</x:f>
      </x:c>
      <x:c r="P156" s="24" t="str">
        <x:f>IFERROR(O156/N156,"")</x:f>
      </x:c>
      <x:c r="Q156" s="13"/>
      <x:c r="R156" s="13"/>
      <x:c r="S156" s="13" t="str">
        <x:f>IF(AND(D156="Можно заказывать",R156="Да",O156&gt;0),"GO","STOP")</x:f>
        <x:v>STOP</x:v>
      </x:c>
      <x:c r="T156" s="13"/>
    </x:row>
    <x:row r="157">
      <x:c r="A157" s="13"/>
      <x:c r="B157" s="13"/>
      <x:c r="C157" s="13"/>
      <x:c r="D157" s="13"/>
      <x:c r="E157" s="13"/>
      <x:c r="F157" s="13"/>
      <x:c r="G157" s="13"/>
      <x:c r="H157" s="22"/>
      <x:c r="I157" s="22"/>
      <x:c r="J157" s="22" t="str">
        <x:f>IF(OR(H157="",I157=""),"",H157*I157)</x:f>
      </x:c>
      <x:c r="K157" s="22"/>
      <x:c r="L157" s="22"/>
      <x:c r="M157" s="22" t="str">
        <x:f>IF(J157="","",J157+IF(K157="",0,K157)+IF(L157="",0,L157))</x:f>
      </x:c>
      <x:c r="N157" s="22"/>
      <x:c r="O157" s="22" t="str">
        <x:f>IF(OR(N157="",M157=""),"",N157-M157)</x:f>
      </x:c>
      <x:c r="P157" s="24" t="str">
        <x:f>IFERROR(O157/N157,"")</x:f>
      </x:c>
      <x:c r="Q157" s="13"/>
      <x:c r="R157" s="13"/>
      <x:c r="S157" s="13" t="str">
        <x:f>IF(AND(D157="Можно заказывать",R157="Да",O157&gt;0),"GO","STOP")</x:f>
        <x:v>STOP</x:v>
      </x:c>
      <x:c r="T157" s="13"/>
    </x:row>
    <x:row r="158">
      <x:c r="A158" s="13"/>
      <x:c r="B158" s="13"/>
      <x:c r="C158" s="13"/>
      <x:c r="D158" s="13"/>
      <x:c r="E158" s="13"/>
      <x:c r="F158" s="13"/>
      <x:c r="G158" s="13"/>
      <x:c r="H158" s="22"/>
      <x:c r="I158" s="22"/>
      <x:c r="J158" s="22" t="str">
        <x:f>IF(OR(H158="",I158=""),"",H158*I158)</x:f>
      </x:c>
      <x:c r="K158" s="22"/>
      <x:c r="L158" s="22"/>
      <x:c r="M158" s="22" t="str">
        <x:f>IF(J158="","",J158+IF(K158="",0,K158)+IF(L158="",0,L158))</x:f>
      </x:c>
      <x:c r="N158" s="22"/>
      <x:c r="O158" s="22" t="str">
        <x:f>IF(OR(N158="",M158=""),"",N158-M158)</x:f>
      </x:c>
      <x:c r="P158" s="24" t="str">
        <x:f>IFERROR(O158/N158,"")</x:f>
      </x:c>
      <x:c r="Q158" s="13"/>
      <x:c r="R158" s="13"/>
      <x:c r="S158" s="13" t="str">
        <x:f>IF(AND(D158="Можно заказывать",R158="Да",O158&gt;0),"GO","STOP")</x:f>
        <x:v>STOP</x:v>
      </x:c>
      <x:c r="T158" s="13"/>
    </x:row>
    <x:row r="159">
      <x:c r="A159" s="13"/>
      <x:c r="B159" s="13"/>
      <x:c r="C159" s="13"/>
      <x:c r="D159" s="13"/>
      <x:c r="E159" s="13"/>
      <x:c r="F159" s="13"/>
      <x:c r="G159" s="13"/>
      <x:c r="H159" s="22"/>
      <x:c r="I159" s="22"/>
      <x:c r="J159" s="22" t="str">
        <x:f>IF(OR(H159="",I159=""),"",H159*I159)</x:f>
      </x:c>
      <x:c r="K159" s="22"/>
      <x:c r="L159" s="22"/>
      <x:c r="M159" s="22" t="str">
        <x:f>IF(J159="","",J159+IF(K159="",0,K159)+IF(L159="",0,L159))</x:f>
      </x:c>
      <x:c r="N159" s="22"/>
      <x:c r="O159" s="22" t="str">
        <x:f>IF(OR(N159="",M159=""),"",N159-M159)</x:f>
      </x:c>
      <x:c r="P159" s="24" t="str">
        <x:f>IFERROR(O159/N159,"")</x:f>
      </x:c>
      <x:c r="Q159" s="13"/>
      <x:c r="R159" s="13"/>
      <x:c r="S159" s="13" t="str">
        <x:f>IF(AND(D159="Можно заказывать",R159="Да",O159&gt;0),"GO","STOP")</x:f>
        <x:v>STOP</x:v>
      </x:c>
      <x:c r="T159" s="13"/>
    </x:row>
    <x:row r="160">
      <x:c r="A160" s="13"/>
      <x:c r="B160" s="13"/>
      <x:c r="C160" s="13"/>
      <x:c r="D160" s="13"/>
      <x:c r="E160" s="13"/>
      <x:c r="F160" s="13"/>
      <x:c r="G160" s="13"/>
      <x:c r="H160" s="22"/>
      <x:c r="I160" s="22"/>
      <x:c r="J160" s="22" t="str">
        <x:f>IF(OR(H160="",I160=""),"",H160*I160)</x:f>
      </x:c>
      <x:c r="K160" s="22"/>
      <x:c r="L160" s="22"/>
      <x:c r="M160" s="22" t="str">
        <x:f>IF(J160="","",J160+IF(K160="",0,K160)+IF(L160="",0,L160))</x:f>
      </x:c>
      <x:c r="N160" s="22"/>
      <x:c r="O160" s="22" t="str">
        <x:f>IF(OR(N160="",M160=""),"",N160-M160)</x:f>
      </x:c>
      <x:c r="P160" s="24" t="str">
        <x:f>IFERROR(O160/N160,"")</x:f>
      </x:c>
      <x:c r="Q160" s="13"/>
      <x:c r="R160" s="13"/>
      <x:c r="S160" s="13" t="str">
        <x:f>IF(AND(D160="Можно заказывать",R160="Да",O160&gt;0),"GO","STOP")</x:f>
        <x:v>STOP</x:v>
      </x:c>
      <x:c r="T160" s="13"/>
    </x:row>
    <x:row r="161">
      <x:c r="A161" s="13"/>
      <x:c r="B161" s="13"/>
      <x:c r="C161" s="13"/>
      <x:c r="D161" s="13"/>
      <x:c r="E161" s="13"/>
      <x:c r="F161" s="13"/>
      <x:c r="G161" s="13"/>
      <x:c r="H161" s="22"/>
      <x:c r="I161" s="22"/>
      <x:c r="J161" s="22" t="str">
        <x:f>IF(OR(H161="",I161=""),"",H161*I161)</x:f>
      </x:c>
      <x:c r="K161" s="22"/>
      <x:c r="L161" s="22"/>
      <x:c r="M161" s="22" t="str">
        <x:f>IF(J161="","",J161+IF(K161="",0,K161)+IF(L161="",0,L161))</x:f>
      </x:c>
      <x:c r="N161" s="22"/>
      <x:c r="O161" s="22" t="str">
        <x:f>IF(OR(N161="",M161=""),"",N161-M161)</x:f>
      </x:c>
      <x:c r="P161" s="24" t="str">
        <x:f>IFERROR(O161/N161,"")</x:f>
      </x:c>
      <x:c r="Q161" s="13"/>
      <x:c r="R161" s="13"/>
      <x:c r="S161" s="13" t="str">
        <x:f>IF(AND(D161="Можно заказывать",R161="Да",O161&gt;0),"GO","STOP")</x:f>
        <x:v>STOP</x:v>
      </x:c>
      <x:c r="T161" s="13"/>
    </x:row>
    <x:row r="162">
      <x:c r="A162" s="13"/>
      <x:c r="B162" s="13"/>
      <x:c r="C162" s="13"/>
      <x:c r="D162" s="13"/>
      <x:c r="E162" s="13"/>
      <x:c r="F162" s="13"/>
      <x:c r="G162" s="13"/>
      <x:c r="H162" s="22"/>
      <x:c r="I162" s="22"/>
      <x:c r="J162" s="22" t="str">
        <x:f>IF(OR(H162="",I162=""),"",H162*I162)</x:f>
      </x:c>
      <x:c r="K162" s="22"/>
      <x:c r="L162" s="22"/>
      <x:c r="M162" s="22" t="str">
        <x:f>IF(J162="","",J162+IF(K162="",0,K162)+IF(L162="",0,L162))</x:f>
      </x:c>
      <x:c r="N162" s="22"/>
      <x:c r="O162" s="22" t="str">
        <x:f>IF(OR(N162="",M162=""),"",N162-M162)</x:f>
      </x:c>
      <x:c r="P162" s="24" t="str">
        <x:f>IFERROR(O162/N162,"")</x:f>
      </x:c>
      <x:c r="Q162" s="13"/>
      <x:c r="R162" s="13"/>
      <x:c r="S162" s="13" t="str">
        <x:f>IF(AND(D162="Можно заказывать",R162="Да",O162&gt;0),"GO","STOP")</x:f>
        <x:v>STOP</x:v>
      </x:c>
      <x:c r="T162" s="13"/>
    </x:row>
    <x:row r="163">
      <x:c r="A163" s="13"/>
      <x:c r="B163" s="13"/>
      <x:c r="C163" s="13"/>
      <x:c r="D163" s="13"/>
      <x:c r="E163" s="13"/>
      <x:c r="F163" s="13"/>
      <x:c r="G163" s="13"/>
      <x:c r="H163" s="22"/>
      <x:c r="I163" s="22"/>
      <x:c r="J163" s="22" t="str">
        <x:f>IF(OR(H163="",I163=""),"",H163*I163)</x:f>
      </x:c>
      <x:c r="K163" s="22"/>
      <x:c r="L163" s="22"/>
      <x:c r="M163" s="22" t="str">
        <x:f>IF(J163="","",J163+IF(K163="",0,K163)+IF(L163="",0,L163))</x:f>
      </x:c>
      <x:c r="N163" s="22"/>
      <x:c r="O163" s="22" t="str">
        <x:f>IF(OR(N163="",M163=""),"",N163-M163)</x:f>
      </x:c>
      <x:c r="P163" s="24" t="str">
        <x:f>IFERROR(O163/N163,"")</x:f>
      </x:c>
      <x:c r="Q163" s="13"/>
      <x:c r="R163" s="13"/>
      <x:c r="S163" s="13" t="str">
        <x:f>IF(AND(D163="Можно заказывать",R163="Да",O163&gt;0),"GO","STOP")</x:f>
        <x:v>STOP</x:v>
      </x:c>
      <x:c r="T163" s="13"/>
    </x:row>
    <x:row r="164">
      <x:c r="A164" s="13"/>
      <x:c r="B164" s="13"/>
      <x:c r="C164" s="13"/>
      <x:c r="D164" s="13"/>
      <x:c r="E164" s="13"/>
      <x:c r="F164" s="13"/>
      <x:c r="G164" s="13"/>
      <x:c r="H164" s="22"/>
      <x:c r="I164" s="22"/>
      <x:c r="J164" s="22" t="str">
        <x:f>IF(OR(H164="",I164=""),"",H164*I164)</x:f>
      </x:c>
      <x:c r="K164" s="22"/>
      <x:c r="L164" s="22"/>
      <x:c r="M164" s="22" t="str">
        <x:f>IF(J164="","",J164+IF(K164="",0,K164)+IF(L164="",0,L164))</x:f>
      </x:c>
      <x:c r="N164" s="22"/>
      <x:c r="O164" s="22" t="str">
        <x:f>IF(OR(N164="",M164=""),"",N164-M164)</x:f>
      </x:c>
      <x:c r="P164" s="24" t="str">
        <x:f>IFERROR(O164/N164,"")</x:f>
      </x:c>
      <x:c r="Q164" s="13"/>
      <x:c r="R164" s="13"/>
      <x:c r="S164" s="13" t="str">
        <x:f>IF(AND(D164="Можно заказывать",R164="Да",O164&gt;0),"GO","STOP")</x:f>
        <x:v>STOP</x:v>
      </x:c>
      <x:c r="T164" s="13"/>
    </x:row>
    <x:row r="165">
      <x:c r="A165" s="13"/>
      <x:c r="B165" s="13"/>
      <x:c r="C165" s="13"/>
      <x:c r="D165" s="13"/>
      <x:c r="E165" s="13"/>
      <x:c r="F165" s="13"/>
      <x:c r="G165" s="13"/>
      <x:c r="H165" s="22"/>
      <x:c r="I165" s="22"/>
      <x:c r="J165" s="22" t="str">
        <x:f>IF(OR(H165="",I165=""),"",H165*I165)</x:f>
      </x:c>
      <x:c r="K165" s="22"/>
      <x:c r="L165" s="22"/>
      <x:c r="M165" s="22" t="str">
        <x:f>IF(J165="","",J165+IF(K165="",0,K165)+IF(L165="",0,L165))</x:f>
      </x:c>
      <x:c r="N165" s="22"/>
      <x:c r="O165" s="22" t="str">
        <x:f>IF(OR(N165="",M165=""),"",N165-M165)</x:f>
      </x:c>
      <x:c r="P165" s="24" t="str">
        <x:f>IFERROR(O165/N165,"")</x:f>
      </x:c>
      <x:c r="Q165" s="13"/>
      <x:c r="R165" s="13"/>
      <x:c r="S165" s="13" t="str">
        <x:f>IF(AND(D165="Можно заказывать",R165="Да",O165&gt;0),"GO","STOP")</x:f>
        <x:v>STOP</x:v>
      </x:c>
      <x:c r="T165" s="13"/>
    </x:row>
    <x:row r="166">
      <x:c r="A166" s="13"/>
      <x:c r="B166" s="13"/>
      <x:c r="C166" s="13"/>
      <x:c r="D166" s="13"/>
      <x:c r="E166" s="13"/>
      <x:c r="F166" s="13"/>
      <x:c r="G166" s="13"/>
      <x:c r="H166" s="22"/>
      <x:c r="I166" s="22"/>
      <x:c r="J166" s="22" t="str">
        <x:f>IF(OR(H166="",I166=""),"",H166*I166)</x:f>
      </x:c>
      <x:c r="K166" s="22"/>
      <x:c r="L166" s="22"/>
      <x:c r="M166" s="22" t="str">
        <x:f>IF(J166="","",J166+IF(K166="",0,K166)+IF(L166="",0,L166))</x:f>
      </x:c>
      <x:c r="N166" s="22"/>
      <x:c r="O166" s="22" t="str">
        <x:f>IF(OR(N166="",M166=""),"",N166-M166)</x:f>
      </x:c>
      <x:c r="P166" s="24" t="str">
        <x:f>IFERROR(O166/N166,"")</x:f>
      </x:c>
      <x:c r="Q166" s="13"/>
      <x:c r="R166" s="13"/>
      <x:c r="S166" s="13" t="str">
        <x:f>IF(AND(D166="Можно заказывать",R166="Да",O166&gt;0),"GO","STOP")</x:f>
        <x:v>STOP</x:v>
      </x:c>
      <x:c r="T166" s="13"/>
    </x:row>
    <x:row r="167">
      <x:c r="A167" s="13"/>
      <x:c r="B167" s="13"/>
      <x:c r="C167" s="13"/>
      <x:c r="D167" s="13"/>
      <x:c r="E167" s="13"/>
      <x:c r="F167" s="13"/>
      <x:c r="G167" s="13"/>
      <x:c r="H167" s="22"/>
      <x:c r="I167" s="22"/>
      <x:c r="J167" s="22" t="str">
        <x:f>IF(OR(H167="",I167=""),"",H167*I167)</x:f>
      </x:c>
      <x:c r="K167" s="22"/>
      <x:c r="L167" s="22"/>
      <x:c r="M167" s="22" t="str">
        <x:f>IF(J167="","",J167+IF(K167="",0,K167)+IF(L167="",0,L167))</x:f>
      </x:c>
      <x:c r="N167" s="22"/>
      <x:c r="O167" s="22" t="str">
        <x:f>IF(OR(N167="",M167=""),"",N167-M167)</x:f>
      </x:c>
      <x:c r="P167" s="24" t="str">
        <x:f>IFERROR(O167/N167,"")</x:f>
      </x:c>
      <x:c r="Q167" s="13"/>
      <x:c r="R167" s="13"/>
      <x:c r="S167" s="13" t="str">
        <x:f>IF(AND(D167="Можно заказывать",R167="Да",O167&gt;0),"GO","STOP")</x:f>
        <x:v>STOP</x:v>
      </x:c>
      <x:c r="T167" s="13"/>
    </x:row>
    <x:row r="168">
      <x:c r="A168" s="13"/>
      <x:c r="B168" s="13"/>
      <x:c r="C168" s="13"/>
      <x:c r="D168" s="13"/>
      <x:c r="E168" s="13"/>
      <x:c r="F168" s="13"/>
      <x:c r="G168" s="13"/>
      <x:c r="H168" s="22"/>
      <x:c r="I168" s="22"/>
      <x:c r="J168" s="22" t="str">
        <x:f>IF(OR(H168="",I168=""),"",H168*I168)</x:f>
      </x:c>
      <x:c r="K168" s="22"/>
      <x:c r="L168" s="22"/>
      <x:c r="M168" s="22" t="str">
        <x:f>IF(J168="","",J168+IF(K168="",0,K168)+IF(L168="",0,L168))</x:f>
      </x:c>
      <x:c r="N168" s="22"/>
      <x:c r="O168" s="22" t="str">
        <x:f>IF(OR(N168="",M168=""),"",N168-M168)</x:f>
      </x:c>
      <x:c r="P168" s="24" t="str">
        <x:f>IFERROR(O168/N168,"")</x:f>
      </x:c>
      <x:c r="Q168" s="13"/>
      <x:c r="R168" s="13"/>
      <x:c r="S168" s="13" t="str">
        <x:f>IF(AND(D168="Можно заказывать",R168="Да",O168&gt;0),"GO","STOP")</x:f>
        <x:v>STOP</x:v>
      </x:c>
      <x:c r="T168" s="13"/>
    </x:row>
    <x:row r="169">
      <x:c r="A169" s="13"/>
      <x:c r="B169" s="13"/>
      <x:c r="C169" s="13"/>
      <x:c r="D169" s="13"/>
      <x:c r="E169" s="13"/>
      <x:c r="F169" s="13"/>
      <x:c r="G169" s="13"/>
      <x:c r="H169" s="22"/>
      <x:c r="I169" s="22"/>
      <x:c r="J169" s="22" t="str">
        <x:f>IF(OR(H169="",I169=""),"",H169*I169)</x:f>
      </x:c>
      <x:c r="K169" s="22"/>
      <x:c r="L169" s="22"/>
      <x:c r="M169" s="22" t="str">
        <x:f>IF(J169="","",J169+IF(K169="",0,K169)+IF(L169="",0,L169))</x:f>
      </x:c>
      <x:c r="N169" s="22"/>
      <x:c r="O169" s="22" t="str">
        <x:f>IF(OR(N169="",M169=""),"",N169-M169)</x:f>
      </x:c>
      <x:c r="P169" s="24" t="str">
        <x:f>IFERROR(O169/N169,"")</x:f>
      </x:c>
      <x:c r="Q169" s="13"/>
      <x:c r="R169" s="13"/>
      <x:c r="S169" s="13" t="str">
        <x:f>IF(AND(D169="Можно заказывать",R169="Да",O169&gt;0),"GO","STOP")</x:f>
        <x:v>STOP</x:v>
      </x:c>
      <x:c r="T169" s="13"/>
    </x:row>
    <x:row r="170">
      <x:c r="A170" s="13"/>
      <x:c r="B170" s="13"/>
      <x:c r="C170" s="13"/>
      <x:c r="D170" s="13"/>
      <x:c r="E170" s="13"/>
      <x:c r="F170" s="13"/>
      <x:c r="G170" s="13"/>
      <x:c r="H170" s="22"/>
      <x:c r="I170" s="22"/>
      <x:c r="J170" s="22" t="str">
        <x:f>IF(OR(H170="",I170=""),"",H170*I170)</x:f>
      </x:c>
      <x:c r="K170" s="22"/>
      <x:c r="L170" s="22"/>
      <x:c r="M170" s="22" t="str">
        <x:f>IF(J170="","",J170+IF(K170="",0,K170)+IF(L170="",0,L170))</x:f>
      </x:c>
      <x:c r="N170" s="22"/>
      <x:c r="O170" s="22" t="str">
        <x:f>IF(OR(N170="",M170=""),"",N170-M170)</x:f>
      </x:c>
      <x:c r="P170" s="24" t="str">
        <x:f>IFERROR(O170/N170,"")</x:f>
      </x:c>
      <x:c r="Q170" s="13"/>
      <x:c r="R170" s="13"/>
      <x:c r="S170" s="13" t="str">
        <x:f>IF(AND(D170="Можно заказывать",R170="Да",O170&gt;0),"GO","STOP")</x:f>
        <x:v>STOP</x:v>
      </x:c>
      <x:c r="T170" s="13"/>
    </x:row>
    <x:row r="171">
      <x:c r="A171" s="13"/>
      <x:c r="B171" s="13"/>
      <x:c r="C171" s="13"/>
      <x:c r="D171" s="13"/>
      <x:c r="E171" s="13"/>
      <x:c r="F171" s="13"/>
      <x:c r="G171" s="13"/>
      <x:c r="H171" s="22"/>
      <x:c r="I171" s="22"/>
      <x:c r="J171" s="22" t="str">
        <x:f>IF(OR(H171="",I171=""),"",H171*I171)</x:f>
      </x:c>
      <x:c r="K171" s="22"/>
      <x:c r="L171" s="22"/>
      <x:c r="M171" s="22" t="str">
        <x:f>IF(J171="","",J171+IF(K171="",0,K171)+IF(L171="",0,L171))</x:f>
      </x:c>
      <x:c r="N171" s="22"/>
      <x:c r="O171" s="22" t="str">
        <x:f>IF(OR(N171="",M171=""),"",N171-M171)</x:f>
      </x:c>
      <x:c r="P171" s="24" t="str">
        <x:f>IFERROR(O171/N171,"")</x:f>
      </x:c>
      <x:c r="Q171" s="13"/>
      <x:c r="R171" s="13"/>
      <x:c r="S171" s="13" t="str">
        <x:f>IF(AND(D171="Можно заказывать",R171="Да",O171&gt;0),"GO","STOP")</x:f>
        <x:v>STOP</x:v>
      </x:c>
      <x:c r="T171" s="13"/>
    </x:row>
    <x:row r="172">
      <x:c r="A172" s="13"/>
      <x:c r="B172" s="13"/>
      <x:c r="C172" s="13"/>
      <x:c r="D172" s="13"/>
      <x:c r="E172" s="13"/>
      <x:c r="F172" s="13"/>
      <x:c r="G172" s="13"/>
      <x:c r="H172" s="22"/>
      <x:c r="I172" s="22"/>
      <x:c r="J172" s="22" t="str">
        <x:f>IF(OR(H172="",I172=""),"",H172*I172)</x:f>
      </x:c>
      <x:c r="K172" s="22"/>
      <x:c r="L172" s="22"/>
      <x:c r="M172" s="22" t="str">
        <x:f>IF(J172="","",J172+IF(K172="",0,K172)+IF(L172="",0,L172))</x:f>
      </x:c>
      <x:c r="N172" s="22"/>
      <x:c r="O172" s="22" t="str">
        <x:f>IF(OR(N172="",M172=""),"",N172-M172)</x:f>
      </x:c>
      <x:c r="P172" s="24" t="str">
        <x:f>IFERROR(O172/N172,"")</x:f>
      </x:c>
      <x:c r="Q172" s="13"/>
      <x:c r="R172" s="13"/>
      <x:c r="S172" s="13" t="str">
        <x:f>IF(AND(D172="Можно заказывать",R172="Да",O172&gt;0),"GO","STOP")</x:f>
        <x:v>STOP</x:v>
      </x:c>
      <x:c r="T172" s="13"/>
    </x:row>
    <x:row r="173">
      <x:c r="A173" s="13"/>
      <x:c r="B173" s="13"/>
      <x:c r="C173" s="13"/>
      <x:c r="D173" s="13"/>
      <x:c r="E173" s="13"/>
      <x:c r="F173" s="13"/>
      <x:c r="G173" s="13"/>
      <x:c r="H173" s="22"/>
      <x:c r="I173" s="22"/>
      <x:c r="J173" s="22" t="str">
        <x:f>IF(OR(H173="",I173=""),"",H173*I173)</x:f>
      </x:c>
      <x:c r="K173" s="22"/>
      <x:c r="L173" s="22"/>
      <x:c r="M173" s="22" t="str">
        <x:f>IF(J173="","",J173+IF(K173="",0,K173)+IF(L173="",0,L173))</x:f>
      </x:c>
      <x:c r="N173" s="22"/>
      <x:c r="O173" s="22" t="str">
        <x:f>IF(OR(N173="",M173=""),"",N173-M173)</x:f>
      </x:c>
      <x:c r="P173" s="24" t="str">
        <x:f>IFERROR(O173/N173,"")</x:f>
      </x:c>
      <x:c r="Q173" s="13"/>
      <x:c r="R173" s="13"/>
      <x:c r="S173" s="13" t="str">
        <x:f>IF(AND(D173="Можно заказывать",R173="Да",O173&gt;0),"GO","STOP")</x:f>
        <x:v>STOP</x:v>
      </x:c>
      <x:c r="T173" s="13"/>
    </x:row>
    <x:row r="174">
      <x:c r="A174" s="13"/>
      <x:c r="B174" s="13"/>
      <x:c r="C174" s="13"/>
      <x:c r="D174" s="13"/>
      <x:c r="E174" s="13"/>
      <x:c r="F174" s="13"/>
      <x:c r="G174" s="13"/>
      <x:c r="H174" s="22"/>
      <x:c r="I174" s="22"/>
      <x:c r="J174" s="22" t="str">
        <x:f>IF(OR(H174="",I174=""),"",H174*I174)</x:f>
      </x:c>
      <x:c r="K174" s="22"/>
      <x:c r="L174" s="22"/>
      <x:c r="M174" s="22" t="str">
        <x:f>IF(J174="","",J174+IF(K174="",0,K174)+IF(L174="",0,L174))</x:f>
      </x:c>
      <x:c r="N174" s="22"/>
      <x:c r="O174" s="22" t="str">
        <x:f>IF(OR(N174="",M174=""),"",N174-M174)</x:f>
      </x:c>
      <x:c r="P174" s="24" t="str">
        <x:f>IFERROR(O174/N174,"")</x:f>
      </x:c>
      <x:c r="Q174" s="13"/>
      <x:c r="R174" s="13"/>
      <x:c r="S174" s="13" t="str">
        <x:f>IF(AND(D174="Можно заказывать",R174="Да",O174&gt;0),"GO","STOP")</x:f>
        <x:v>STOP</x:v>
      </x:c>
      <x:c r="T174" s="13"/>
    </x:row>
    <x:row r="175">
      <x:c r="A175" s="13"/>
      <x:c r="B175" s="13"/>
      <x:c r="C175" s="13"/>
      <x:c r="D175" s="13"/>
      <x:c r="E175" s="13"/>
      <x:c r="F175" s="13"/>
      <x:c r="G175" s="13"/>
      <x:c r="H175" s="22"/>
      <x:c r="I175" s="22"/>
      <x:c r="J175" s="22" t="str">
        <x:f>IF(OR(H175="",I175=""),"",H175*I175)</x:f>
      </x:c>
      <x:c r="K175" s="22"/>
      <x:c r="L175" s="22"/>
      <x:c r="M175" s="22" t="str">
        <x:f>IF(J175="","",J175+IF(K175="",0,K175)+IF(L175="",0,L175))</x:f>
      </x:c>
      <x:c r="N175" s="22"/>
      <x:c r="O175" s="22" t="str">
        <x:f>IF(OR(N175="",M175=""),"",N175-M175)</x:f>
      </x:c>
      <x:c r="P175" s="24" t="str">
        <x:f>IFERROR(O175/N175,"")</x:f>
      </x:c>
      <x:c r="Q175" s="13"/>
      <x:c r="R175" s="13"/>
      <x:c r="S175" s="13" t="str">
        <x:f>IF(AND(D175="Можно заказывать",R175="Да",O175&gt;0),"GO","STOP")</x:f>
        <x:v>STOP</x:v>
      </x:c>
      <x:c r="T175" s="13"/>
    </x:row>
    <x:row r="176">
      <x:c r="A176" s="13"/>
      <x:c r="B176" s="13"/>
      <x:c r="C176" s="13"/>
      <x:c r="D176" s="13"/>
      <x:c r="E176" s="13"/>
      <x:c r="F176" s="13"/>
      <x:c r="G176" s="13"/>
      <x:c r="H176" s="22"/>
      <x:c r="I176" s="22"/>
      <x:c r="J176" s="22" t="str">
        <x:f>IF(OR(H176="",I176=""),"",H176*I176)</x:f>
      </x:c>
      <x:c r="K176" s="22"/>
      <x:c r="L176" s="22"/>
      <x:c r="M176" s="22" t="str">
        <x:f>IF(J176="","",J176+IF(K176="",0,K176)+IF(L176="",0,L176))</x:f>
      </x:c>
      <x:c r="N176" s="22"/>
      <x:c r="O176" s="22" t="str">
        <x:f>IF(OR(N176="",M176=""),"",N176-M176)</x:f>
      </x:c>
      <x:c r="P176" s="24" t="str">
        <x:f>IFERROR(O176/N176,"")</x:f>
      </x:c>
      <x:c r="Q176" s="13"/>
      <x:c r="R176" s="13"/>
      <x:c r="S176" s="13" t="str">
        <x:f>IF(AND(D176="Можно заказывать",R176="Да",O176&gt;0),"GO","STOP")</x:f>
        <x:v>STOP</x:v>
      </x:c>
      <x:c r="T176" s="13"/>
    </x:row>
    <x:row r="177">
      <x:c r="A177" s="13"/>
      <x:c r="B177" s="13"/>
      <x:c r="C177" s="13"/>
      <x:c r="D177" s="13"/>
      <x:c r="E177" s="13"/>
      <x:c r="F177" s="13"/>
      <x:c r="G177" s="13"/>
      <x:c r="H177" s="22"/>
      <x:c r="I177" s="22"/>
      <x:c r="J177" s="22" t="str">
        <x:f>IF(OR(H177="",I177=""),"",H177*I177)</x:f>
      </x:c>
      <x:c r="K177" s="22"/>
      <x:c r="L177" s="22"/>
      <x:c r="M177" s="22" t="str">
        <x:f>IF(J177="","",J177+IF(K177="",0,K177)+IF(L177="",0,L177))</x:f>
      </x:c>
      <x:c r="N177" s="22"/>
      <x:c r="O177" s="22" t="str">
        <x:f>IF(OR(N177="",M177=""),"",N177-M177)</x:f>
      </x:c>
      <x:c r="P177" s="24" t="str">
        <x:f>IFERROR(O177/N177,"")</x:f>
      </x:c>
      <x:c r="Q177" s="13"/>
      <x:c r="R177" s="13"/>
      <x:c r="S177" s="13" t="str">
        <x:f>IF(AND(D177="Можно заказывать",R177="Да",O177&gt;0),"GO","STOP")</x:f>
        <x:v>STOP</x:v>
      </x:c>
      <x:c r="T177" s="13"/>
    </x:row>
    <x:row r="178">
      <x:c r="A178" s="13"/>
      <x:c r="B178" s="13"/>
      <x:c r="C178" s="13"/>
      <x:c r="D178" s="13"/>
      <x:c r="E178" s="13"/>
      <x:c r="F178" s="13"/>
      <x:c r="G178" s="13"/>
      <x:c r="H178" s="22"/>
      <x:c r="I178" s="22"/>
      <x:c r="J178" s="22" t="str">
        <x:f>IF(OR(H178="",I178=""),"",H178*I178)</x:f>
      </x:c>
      <x:c r="K178" s="22"/>
      <x:c r="L178" s="22"/>
      <x:c r="M178" s="22" t="str">
        <x:f>IF(J178="","",J178+IF(K178="",0,K178)+IF(L178="",0,L178))</x:f>
      </x:c>
      <x:c r="N178" s="22"/>
      <x:c r="O178" s="22" t="str">
        <x:f>IF(OR(N178="",M178=""),"",N178-M178)</x:f>
      </x:c>
      <x:c r="P178" s="24" t="str">
        <x:f>IFERROR(O178/N178,"")</x:f>
      </x:c>
      <x:c r="Q178" s="13"/>
      <x:c r="R178" s="13"/>
      <x:c r="S178" s="13" t="str">
        <x:f>IF(AND(D178="Можно заказывать",R178="Да",O178&gt;0),"GO","STOP")</x:f>
        <x:v>STOP</x:v>
      </x:c>
      <x:c r="T178" s="13"/>
    </x:row>
    <x:row r="179">
      <x:c r="A179" s="13"/>
      <x:c r="B179" s="13"/>
      <x:c r="C179" s="13"/>
      <x:c r="D179" s="13"/>
      <x:c r="E179" s="13"/>
      <x:c r="F179" s="13"/>
      <x:c r="G179" s="13"/>
      <x:c r="H179" s="22"/>
      <x:c r="I179" s="22"/>
      <x:c r="J179" s="22" t="str">
        <x:f>IF(OR(H179="",I179=""),"",H179*I179)</x:f>
      </x:c>
      <x:c r="K179" s="22"/>
      <x:c r="L179" s="22"/>
      <x:c r="M179" s="22" t="str">
        <x:f>IF(J179="","",J179+IF(K179="",0,K179)+IF(L179="",0,L179))</x:f>
      </x:c>
      <x:c r="N179" s="22"/>
      <x:c r="O179" s="22" t="str">
        <x:f>IF(OR(N179="",M179=""),"",N179-M179)</x:f>
      </x:c>
      <x:c r="P179" s="24" t="str">
        <x:f>IFERROR(O179/N179,"")</x:f>
      </x:c>
      <x:c r="Q179" s="13"/>
      <x:c r="R179" s="13"/>
      <x:c r="S179" s="13" t="str">
        <x:f>IF(AND(D179="Можно заказывать",R179="Да",O179&gt;0),"GO","STOP")</x:f>
        <x:v>STOP</x:v>
      </x:c>
      <x:c r="T179" s="13"/>
    </x:row>
    <x:row r="180">
      <x:c r="A180" s="13"/>
      <x:c r="B180" s="13"/>
      <x:c r="C180" s="13"/>
      <x:c r="D180" s="13"/>
      <x:c r="E180" s="13"/>
      <x:c r="F180" s="13"/>
      <x:c r="G180" s="13"/>
      <x:c r="H180" s="22"/>
      <x:c r="I180" s="22"/>
      <x:c r="J180" s="22" t="str">
        <x:f>IF(OR(H180="",I180=""),"",H180*I180)</x:f>
      </x:c>
      <x:c r="K180" s="22"/>
      <x:c r="L180" s="22"/>
      <x:c r="M180" s="22" t="str">
        <x:f>IF(J180="","",J180+IF(K180="",0,K180)+IF(L180="",0,L180))</x:f>
      </x:c>
      <x:c r="N180" s="22"/>
      <x:c r="O180" s="22" t="str">
        <x:f>IF(OR(N180="",M180=""),"",N180-M180)</x:f>
      </x:c>
      <x:c r="P180" s="24" t="str">
        <x:f>IFERROR(O180/N180,"")</x:f>
      </x:c>
      <x:c r="Q180" s="13"/>
      <x:c r="R180" s="13"/>
      <x:c r="S180" s="13" t="str">
        <x:f>IF(AND(D180="Можно заказывать",R180="Да",O180&gt;0),"GO","STOP")</x:f>
        <x:v>STOP</x:v>
      </x:c>
      <x:c r="T180" s="13"/>
    </x:row>
    <x:row r="181">
      <x:c r="A181" s="13"/>
      <x:c r="B181" s="13"/>
      <x:c r="C181" s="13"/>
      <x:c r="D181" s="13"/>
      <x:c r="E181" s="13"/>
      <x:c r="F181" s="13"/>
      <x:c r="G181" s="13"/>
      <x:c r="H181" s="22"/>
      <x:c r="I181" s="22"/>
      <x:c r="J181" s="22" t="str">
        <x:f>IF(OR(H181="",I181=""),"",H181*I181)</x:f>
      </x:c>
      <x:c r="K181" s="22"/>
      <x:c r="L181" s="22"/>
      <x:c r="M181" s="22" t="str">
        <x:f>IF(J181="","",J181+IF(K181="",0,K181)+IF(L181="",0,L181))</x:f>
      </x:c>
      <x:c r="N181" s="22"/>
      <x:c r="O181" s="22" t="str">
        <x:f>IF(OR(N181="",M181=""),"",N181-M181)</x:f>
      </x:c>
      <x:c r="P181" s="24" t="str">
        <x:f>IFERROR(O181/N181,"")</x:f>
      </x:c>
      <x:c r="Q181" s="13"/>
      <x:c r="R181" s="13"/>
      <x:c r="S181" s="13" t="str">
        <x:f>IF(AND(D181="Можно заказывать",R181="Да",O181&gt;0),"GO","STOP")</x:f>
        <x:v>STOP</x:v>
      </x:c>
      <x:c r="T181" s="13"/>
    </x:row>
    <x:row r="182">
      <x:c r="A182" s="13"/>
      <x:c r="B182" s="13"/>
      <x:c r="C182" s="13"/>
      <x:c r="D182" s="13"/>
      <x:c r="E182" s="13"/>
      <x:c r="F182" s="13"/>
      <x:c r="G182" s="13"/>
      <x:c r="H182" s="22"/>
      <x:c r="I182" s="22"/>
      <x:c r="J182" s="22" t="str">
        <x:f>IF(OR(H182="",I182=""),"",H182*I182)</x:f>
      </x:c>
      <x:c r="K182" s="22"/>
      <x:c r="L182" s="22"/>
      <x:c r="M182" s="22" t="str">
        <x:f>IF(J182="","",J182+IF(K182="",0,K182)+IF(L182="",0,L182))</x:f>
      </x:c>
      <x:c r="N182" s="22"/>
      <x:c r="O182" s="22" t="str">
        <x:f>IF(OR(N182="",M182=""),"",N182-M182)</x:f>
      </x:c>
      <x:c r="P182" s="24" t="str">
        <x:f>IFERROR(O182/N182,"")</x:f>
      </x:c>
      <x:c r="Q182" s="13"/>
      <x:c r="R182" s="13"/>
      <x:c r="S182" s="13" t="str">
        <x:f>IF(AND(D182="Можно заказывать",R182="Да",O182&gt;0),"GO","STOP")</x:f>
        <x:v>STOP</x:v>
      </x:c>
      <x:c r="T182" s="13"/>
    </x:row>
    <x:row r="183">
      <x:c r="A183" s="13"/>
      <x:c r="B183" s="13"/>
      <x:c r="C183" s="13"/>
      <x:c r="D183" s="13"/>
      <x:c r="E183" s="13"/>
      <x:c r="F183" s="13"/>
      <x:c r="G183" s="13"/>
      <x:c r="H183" s="22"/>
      <x:c r="I183" s="22"/>
      <x:c r="J183" s="22" t="str">
        <x:f>IF(OR(H183="",I183=""),"",H183*I183)</x:f>
      </x:c>
      <x:c r="K183" s="22"/>
      <x:c r="L183" s="22"/>
      <x:c r="M183" s="22" t="str">
        <x:f>IF(J183="","",J183+IF(K183="",0,K183)+IF(L183="",0,L183))</x:f>
      </x:c>
      <x:c r="N183" s="22"/>
      <x:c r="O183" s="22" t="str">
        <x:f>IF(OR(N183="",M183=""),"",N183-M183)</x:f>
      </x:c>
      <x:c r="P183" s="24" t="str">
        <x:f>IFERROR(O183/N183,"")</x:f>
      </x:c>
      <x:c r="Q183" s="13"/>
      <x:c r="R183" s="13"/>
      <x:c r="S183" s="13" t="str">
        <x:f>IF(AND(D183="Можно заказывать",R183="Да",O183&gt;0),"GO","STOP")</x:f>
        <x:v>STOP</x:v>
      </x:c>
      <x:c r="T183" s="13"/>
    </x:row>
    <x:row r="184">
      <x:c r="A184" s="13"/>
      <x:c r="B184" s="13"/>
      <x:c r="C184" s="13"/>
      <x:c r="D184" s="13"/>
      <x:c r="E184" s="13"/>
      <x:c r="F184" s="13"/>
      <x:c r="G184" s="13"/>
      <x:c r="H184" s="22"/>
      <x:c r="I184" s="22"/>
      <x:c r="J184" s="22" t="str">
        <x:f>IF(OR(H184="",I184=""),"",H184*I184)</x:f>
      </x:c>
      <x:c r="K184" s="22"/>
      <x:c r="L184" s="22"/>
      <x:c r="M184" s="22" t="str">
        <x:f>IF(J184="","",J184+IF(K184="",0,K184)+IF(L184="",0,L184))</x:f>
      </x:c>
      <x:c r="N184" s="22"/>
      <x:c r="O184" s="22" t="str">
        <x:f>IF(OR(N184="",M184=""),"",N184-M184)</x:f>
      </x:c>
      <x:c r="P184" s="24" t="str">
        <x:f>IFERROR(O184/N184,"")</x:f>
      </x:c>
      <x:c r="Q184" s="13"/>
      <x:c r="R184" s="13"/>
      <x:c r="S184" s="13" t="str">
        <x:f>IF(AND(D184="Можно заказывать",R184="Да",O184&gt;0),"GO","STOP")</x:f>
        <x:v>STOP</x:v>
      </x:c>
      <x:c r="T184" s="13"/>
    </x:row>
    <x:row r="185">
      <x:c r="A185" s="13"/>
      <x:c r="B185" s="13"/>
      <x:c r="C185" s="13"/>
      <x:c r="D185" s="13"/>
      <x:c r="E185" s="13"/>
      <x:c r="F185" s="13"/>
      <x:c r="G185" s="13"/>
      <x:c r="H185" s="22"/>
      <x:c r="I185" s="22"/>
      <x:c r="J185" s="22" t="str">
        <x:f>IF(OR(H185="",I185=""),"",H185*I185)</x:f>
      </x:c>
      <x:c r="K185" s="22"/>
      <x:c r="L185" s="22"/>
      <x:c r="M185" s="22" t="str">
        <x:f>IF(J185="","",J185+IF(K185="",0,K185)+IF(L185="",0,L185))</x:f>
      </x:c>
      <x:c r="N185" s="22"/>
      <x:c r="O185" s="22" t="str">
        <x:f>IF(OR(N185="",M185=""),"",N185-M185)</x:f>
      </x:c>
      <x:c r="P185" s="24" t="str">
        <x:f>IFERROR(O185/N185,"")</x:f>
      </x:c>
      <x:c r="Q185" s="13"/>
      <x:c r="R185" s="13"/>
      <x:c r="S185" s="13" t="str">
        <x:f>IF(AND(D185="Можно заказывать",R185="Да",O185&gt;0),"GO","STOP")</x:f>
        <x:v>STOP</x:v>
      </x:c>
      <x:c r="T185" s="13"/>
    </x:row>
    <x:row r="186">
      <x:c r="A186" s="13"/>
      <x:c r="B186" s="13"/>
      <x:c r="C186" s="13"/>
      <x:c r="D186" s="13"/>
      <x:c r="E186" s="13"/>
      <x:c r="F186" s="13"/>
      <x:c r="G186" s="13"/>
      <x:c r="H186" s="22"/>
      <x:c r="I186" s="22"/>
      <x:c r="J186" s="22" t="str">
        <x:f>IF(OR(H186="",I186=""),"",H186*I186)</x:f>
      </x:c>
      <x:c r="K186" s="22"/>
      <x:c r="L186" s="22"/>
      <x:c r="M186" s="22" t="str">
        <x:f>IF(J186="","",J186+IF(K186="",0,K186)+IF(L186="",0,L186))</x:f>
      </x:c>
      <x:c r="N186" s="22"/>
      <x:c r="O186" s="22" t="str">
        <x:f>IF(OR(N186="",M186=""),"",N186-M186)</x:f>
      </x:c>
      <x:c r="P186" s="24" t="str">
        <x:f>IFERROR(O186/N186,"")</x:f>
      </x:c>
      <x:c r="Q186" s="13"/>
      <x:c r="R186" s="13"/>
      <x:c r="S186" s="13" t="str">
        <x:f>IF(AND(D186="Можно заказывать",R186="Да",O186&gt;0),"GO","STOP")</x:f>
        <x:v>STOP</x:v>
      </x:c>
      <x:c r="T186" s="13"/>
    </x:row>
    <x:row r="187">
      <x:c r="A187" s="13"/>
      <x:c r="B187" s="13"/>
      <x:c r="C187" s="13"/>
      <x:c r="D187" s="13"/>
      <x:c r="E187" s="13"/>
      <x:c r="F187" s="13"/>
      <x:c r="G187" s="13"/>
      <x:c r="H187" s="22"/>
      <x:c r="I187" s="22"/>
      <x:c r="J187" s="22" t="str">
        <x:f>IF(OR(H187="",I187=""),"",H187*I187)</x:f>
      </x:c>
      <x:c r="K187" s="22"/>
      <x:c r="L187" s="22"/>
      <x:c r="M187" s="22" t="str">
        <x:f>IF(J187="","",J187+IF(K187="",0,K187)+IF(L187="",0,L187))</x:f>
      </x:c>
      <x:c r="N187" s="22"/>
      <x:c r="O187" s="22" t="str">
        <x:f>IF(OR(N187="",M187=""),"",N187-M187)</x:f>
      </x:c>
      <x:c r="P187" s="24" t="str">
        <x:f>IFERROR(O187/N187,"")</x:f>
      </x:c>
      <x:c r="Q187" s="13"/>
      <x:c r="R187" s="13"/>
      <x:c r="S187" s="13" t="str">
        <x:f>IF(AND(D187="Можно заказывать",R187="Да",O187&gt;0),"GO","STOP")</x:f>
        <x:v>STOP</x:v>
      </x:c>
      <x:c r="T187" s="13"/>
    </x:row>
    <x:row r="188">
      <x:c r="A188" s="13"/>
      <x:c r="B188" s="13"/>
      <x:c r="C188" s="13"/>
      <x:c r="D188" s="13"/>
      <x:c r="E188" s="13"/>
      <x:c r="F188" s="13"/>
      <x:c r="G188" s="13"/>
      <x:c r="H188" s="22"/>
      <x:c r="I188" s="22"/>
      <x:c r="J188" s="22" t="str">
        <x:f>IF(OR(H188="",I188=""),"",H188*I188)</x:f>
      </x:c>
      <x:c r="K188" s="22"/>
      <x:c r="L188" s="22"/>
      <x:c r="M188" s="22" t="str">
        <x:f>IF(J188="","",J188+IF(K188="",0,K188)+IF(L188="",0,L188))</x:f>
      </x:c>
      <x:c r="N188" s="22"/>
      <x:c r="O188" s="22" t="str">
        <x:f>IF(OR(N188="",M188=""),"",N188-M188)</x:f>
      </x:c>
      <x:c r="P188" s="24" t="str">
        <x:f>IFERROR(O188/N188,"")</x:f>
      </x:c>
      <x:c r="Q188" s="13"/>
      <x:c r="R188" s="13"/>
      <x:c r="S188" s="13" t="str">
        <x:f>IF(AND(D188="Можно заказывать",R188="Да",O188&gt;0),"GO","STOP")</x:f>
        <x:v>STOP</x:v>
      </x:c>
      <x:c r="T188" s="13"/>
    </x:row>
    <x:row r="189">
      <x:c r="A189" s="13"/>
      <x:c r="B189" s="13"/>
      <x:c r="C189" s="13"/>
      <x:c r="D189" s="13"/>
      <x:c r="E189" s="13"/>
      <x:c r="F189" s="13"/>
      <x:c r="G189" s="13"/>
      <x:c r="H189" s="22"/>
      <x:c r="I189" s="22"/>
      <x:c r="J189" s="22" t="str">
        <x:f>IF(OR(H189="",I189=""),"",H189*I189)</x:f>
      </x:c>
      <x:c r="K189" s="22"/>
      <x:c r="L189" s="22"/>
      <x:c r="M189" s="22" t="str">
        <x:f>IF(J189="","",J189+IF(K189="",0,K189)+IF(L189="",0,L189))</x:f>
      </x:c>
      <x:c r="N189" s="22"/>
      <x:c r="O189" s="22" t="str">
        <x:f>IF(OR(N189="",M189=""),"",N189-M189)</x:f>
      </x:c>
      <x:c r="P189" s="24" t="str">
        <x:f>IFERROR(O189/N189,"")</x:f>
      </x:c>
      <x:c r="Q189" s="13"/>
      <x:c r="R189" s="13"/>
      <x:c r="S189" s="13" t="str">
        <x:f>IF(AND(D189="Можно заказывать",R189="Да",O189&gt;0),"GO","STOP")</x:f>
        <x:v>STOP</x:v>
      </x:c>
      <x:c r="T189" s="13"/>
    </x:row>
    <x:row r="190">
      <x:c r="A190" s="13"/>
      <x:c r="B190" s="13"/>
      <x:c r="C190" s="13"/>
      <x:c r="D190" s="13"/>
      <x:c r="E190" s="13"/>
      <x:c r="F190" s="13"/>
      <x:c r="G190" s="13"/>
      <x:c r="H190" s="22"/>
      <x:c r="I190" s="22"/>
      <x:c r="J190" s="22" t="str">
        <x:f>IF(OR(H190="",I190=""),"",H190*I190)</x:f>
      </x:c>
      <x:c r="K190" s="22"/>
      <x:c r="L190" s="22"/>
      <x:c r="M190" s="22" t="str">
        <x:f>IF(J190="","",J190+IF(K190="",0,K190)+IF(L190="",0,L190))</x:f>
      </x:c>
      <x:c r="N190" s="22"/>
      <x:c r="O190" s="22" t="str">
        <x:f>IF(OR(N190="",M190=""),"",N190-M190)</x:f>
      </x:c>
      <x:c r="P190" s="24" t="str">
        <x:f>IFERROR(O190/N190,"")</x:f>
      </x:c>
      <x:c r="Q190" s="13"/>
      <x:c r="R190" s="13"/>
      <x:c r="S190" s="13" t="str">
        <x:f>IF(AND(D190="Можно заказывать",R190="Да",O190&gt;0),"GO","STOP")</x:f>
        <x:v>STOP</x:v>
      </x:c>
      <x:c r="T190" s="13"/>
    </x:row>
    <x:row r="191">
      <x:c r="A191" s="13"/>
      <x:c r="B191" s="13"/>
      <x:c r="C191" s="13"/>
      <x:c r="D191" s="13"/>
      <x:c r="E191" s="13"/>
      <x:c r="F191" s="13"/>
      <x:c r="G191" s="13"/>
      <x:c r="H191" s="22"/>
      <x:c r="I191" s="22"/>
      <x:c r="J191" s="22" t="str">
        <x:f>IF(OR(H191="",I191=""),"",H191*I191)</x:f>
      </x:c>
      <x:c r="K191" s="22"/>
      <x:c r="L191" s="22"/>
      <x:c r="M191" s="22" t="str">
        <x:f>IF(J191="","",J191+IF(K191="",0,K191)+IF(L191="",0,L191))</x:f>
      </x:c>
      <x:c r="N191" s="22"/>
      <x:c r="O191" s="22" t="str">
        <x:f>IF(OR(N191="",M191=""),"",N191-M191)</x:f>
      </x:c>
      <x:c r="P191" s="24" t="str">
        <x:f>IFERROR(O191/N191,"")</x:f>
      </x:c>
      <x:c r="Q191" s="13"/>
      <x:c r="R191" s="13"/>
      <x:c r="S191" s="13" t="str">
        <x:f>IF(AND(D191="Можно заказывать",R191="Да",O191&gt;0),"GO","STOP")</x:f>
        <x:v>STOP</x:v>
      </x:c>
      <x:c r="T191" s="13"/>
    </x:row>
    <x:row r="192">
      <x:c r="A192" s="13"/>
      <x:c r="B192" s="13"/>
      <x:c r="C192" s="13"/>
      <x:c r="D192" s="13"/>
      <x:c r="E192" s="13"/>
      <x:c r="F192" s="13"/>
      <x:c r="G192" s="13"/>
      <x:c r="H192" s="22"/>
      <x:c r="I192" s="22"/>
      <x:c r="J192" s="22" t="str">
        <x:f>IF(OR(H192="",I192=""),"",H192*I192)</x:f>
      </x:c>
      <x:c r="K192" s="22"/>
      <x:c r="L192" s="22"/>
      <x:c r="M192" s="22" t="str">
        <x:f>IF(J192="","",J192+IF(K192="",0,K192)+IF(L192="",0,L192))</x:f>
      </x:c>
      <x:c r="N192" s="22"/>
      <x:c r="O192" s="22" t="str">
        <x:f>IF(OR(N192="",M192=""),"",N192-M192)</x:f>
      </x:c>
      <x:c r="P192" s="24" t="str">
        <x:f>IFERROR(O192/N192,"")</x:f>
      </x:c>
      <x:c r="Q192" s="13"/>
      <x:c r="R192" s="13"/>
      <x:c r="S192" s="13" t="str">
        <x:f>IF(AND(D192="Можно заказывать",R192="Да",O192&gt;0),"GO","STOP")</x:f>
        <x:v>STOP</x:v>
      </x:c>
      <x:c r="T192" s="13"/>
    </x:row>
    <x:row r="193">
      <x:c r="A193" s="13"/>
      <x:c r="B193" s="13"/>
      <x:c r="C193" s="13"/>
      <x:c r="D193" s="13"/>
      <x:c r="E193" s="13"/>
      <x:c r="F193" s="13"/>
      <x:c r="G193" s="13"/>
      <x:c r="H193" s="22"/>
      <x:c r="I193" s="22"/>
      <x:c r="J193" s="22" t="str">
        <x:f>IF(OR(H193="",I193=""),"",H193*I193)</x:f>
      </x:c>
      <x:c r="K193" s="22"/>
      <x:c r="L193" s="22"/>
      <x:c r="M193" s="22" t="str">
        <x:f>IF(J193="","",J193+IF(K193="",0,K193)+IF(L193="",0,L193))</x:f>
      </x:c>
      <x:c r="N193" s="22"/>
      <x:c r="O193" s="22" t="str">
        <x:f>IF(OR(N193="",M193=""),"",N193-M193)</x:f>
      </x:c>
      <x:c r="P193" s="24" t="str">
        <x:f>IFERROR(O193/N193,"")</x:f>
      </x:c>
      <x:c r="Q193" s="13"/>
      <x:c r="R193" s="13"/>
      <x:c r="S193" s="13" t="str">
        <x:f>IF(AND(D193="Можно заказывать",R193="Да",O193&gt;0),"GO","STOP")</x:f>
        <x:v>STOP</x:v>
      </x:c>
      <x:c r="T193" s="13"/>
    </x:row>
    <x:row r="194">
      <x:c r="A194" s="13"/>
      <x:c r="B194" s="13"/>
      <x:c r="C194" s="13"/>
      <x:c r="D194" s="13"/>
      <x:c r="E194" s="13"/>
      <x:c r="F194" s="13"/>
      <x:c r="G194" s="13"/>
      <x:c r="H194" s="22"/>
      <x:c r="I194" s="22"/>
      <x:c r="J194" s="22" t="str">
        <x:f>IF(OR(H194="",I194=""),"",H194*I194)</x:f>
      </x:c>
      <x:c r="K194" s="22"/>
      <x:c r="L194" s="22"/>
      <x:c r="M194" s="22" t="str">
        <x:f>IF(J194="","",J194+IF(K194="",0,K194)+IF(L194="",0,L194))</x:f>
      </x:c>
      <x:c r="N194" s="22"/>
      <x:c r="O194" s="22" t="str">
        <x:f>IF(OR(N194="",M194=""),"",N194-M194)</x:f>
      </x:c>
      <x:c r="P194" s="24" t="str">
        <x:f>IFERROR(O194/N194,"")</x:f>
      </x:c>
      <x:c r="Q194" s="13"/>
      <x:c r="R194" s="13"/>
      <x:c r="S194" s="13" t="str">
        <x:f>IF(AND(D194="Можно заказывать",R194="Да",O194&gt;0),"GO","STOP")</x:f>
        <x:v>STOP</x:v>
      </x:c>
      <x:c r="T194" s="13"/>
    </x:row>
    <x:row r="195">
      <x:c r="A195" s="13"/>
      <x:c r="B195" s="13"/>
      <x:c r="C195" s="13"/>
      <x:c r="D195" s="13"/>
      <x:c r="E195" s="13"/>
      <x:c r="F195" s="13"/>
      <x:c r="G195" s="13"/>
      <x:c r="H195" s="22"/>
      <x:c r="I195" s="22"/>
      <x:c r="J195" s="22" t="str">
        <x:f>IF(OR(H195="",I195=""),"",H195*I195)</x:f>
      </x:c>
      <x:c r="K195" s="22"/>
      <x:c r="L195" s="22"/>
      <x:c r="M195" s="22" t="str">
        <x:f>IF(J195="","",J195+IF(K195="",0,K195)+IF(L195="",0,L195))</x:f>
      </x:c>
      <x:c r="N195" s="22"/>
      <x:c r="O195" s="22" t="str">
        <x:f>IF(OR(N195="",M195=""),"",N195-M195)</x:f>
      </x:c>
      <x:c r="P195" s="24" t="str">
        <x:f>IFERROR(O195/N195,"")</x:f>
      </x:c>
      <x:c r="Q195" s="13"/>
      <x:c r="R195" s="13"/>
      <x:c r="S195" s="13" t="str">
        <x:f>IF(AND(D195="Можно заказывать",R195="Да",O195&gt;0),"GO","STOP")</x:f>
        <x:v>STOP</x:v>
      </x:c>
      <x:c r="T195" s="13"/>
    </x:row>
    <x:row r="196">
      <x:c r="A196" s="13"/>
      <x:c r="B196" s="13"/>
      <x:c r="C196" s="13"/>
      <x:c r="D196" s="13"/>
      <x:c r="E196" s="13"/>
      <x:c r="F196" s="13"/>
      <x:c r="G196" s="13"/>
      <x:c r="H196" s="22"/>
      <x:c r="I196" s="22"/>
      <x:c r="J196" s="22" t="str">
        <x:f>IF(OR(H196="",I196=""),"",H196*I196)</x:f>
      </x:c>
      <x:c r="K196" s="22"/>
      <x:c r="L196" s="22"/>
      <x:c r="M196" s="22" t="str">
        <x:f>IF(J196="","",J196+IF(K196="",0,K196)+IF(L196="",0,L196))</x:f>
      </x:c>
      <x:c r="N196" s="22"/>
      <x:c r="O196" s="22" t="str">
        <x:f>IF(OR(N196="",M196=""),"",N196-M196)</x:f>
      </x:c>
      <x:c r="P196" s="24" t="str">
        <x:f>IFERROR(O196/N196,"")</x:f>
      </x:c>
      <x:c r="Q196" s="13"/>
      <x:c r="R196" s="13"/>
      <x:c r="S196" s="13" t="str">
        <x:f>IF(AND(D196="Можно заказывать",R196="Да",O196&gt;0),"GO","STOP")</x:f>
        <x:v>STOP</x:v>
      </x:c>
      <x:c r="T196" s="13"/>
    </x:row>
    <x:row r="197">
      <x:c r="A197" s="13"/>
      <x:c r="B197" s="13"/>
      <x:c r="C197" s="13"/>
      <x:c r="D197" s="13"/>
      <x:c r="E197" s="13"/>
      <x:c r="F197" s="13"/>
      <x:c r="G197" s="13"/>
      <x:c r="H197" s="22"/>
      <x:c r="I197" s="22"/>
      <x:c r="J197" s="22" t="str">
        <x:f>IF(OR(H197="",I197=""),"",H197*I197)</x:f>
      </x:c>
      <x:c r="K197" s="22"/>
      <x:c r="L197" s="22"/>
      <x:c r="M197" s="22" t="str">
        <x:f>IF(J197="","",J197+IF(K197="",0,K197)+IF(L197="",0,L197))</x:f>
      </x:c>
      <x:c r="N197" s="22"/>
      <x:c r="O197" s="22" t="str">
        <x:f>IF(OR(N197="",M197=""),"",N197-M197)</x:f>
      </x:c>
      <x:c r="P197" s="24" t="str">
        <x:f>IFERROR(O197/N197,"")</x:f>
      </x:c>
      <x:c r="Q197" s="13"/>
      <x:c r="R197" s="13"/>
      <x:c r="S197" s="13" t="str">
        <x:f>IF(AND(D197="Можно заказывать",R197="Да",O197&gt;0),"GO","STOP")</x:f>
        <x:v>STOP</x:v>
      </x:c>
      <x:c r="T197" s="13"/>
    </x:row>
    <x:row r="198">
      <x:c r="A198" s="13"/>
      <x:c r="B198" s="13"/>
      <x:c r="C198" s="13"/>
      <x:c r="D198" s="13"/>
      <x:c r="E198" s="13"/>
      <x:c r="F198" s="13"/>
      <x:c r="G198" s="13"/>
      <x:c r="H198" s="22"/>
      <x:c r="I198" s="22"/>
      <x:c r="J198" s="22" t="str">
        <x:f>IF(OR(H198="",I198=""),"",H198*I198)</x:f>
      </x:c>
      <x:c r="K198" s="22"/>
      <x:c r="L198" s="22"/>
      <x:c r="M198" s="22" t="str">
        <x:f>IF(J198="","",J198+IF(K198="",0,K198)+IF(L198="",0,L198))</x:f>
      </x:c>
      <x:c r="N198" s="22"/>
      <x:c r="O198" s="22" t="str">
        <x:f>IF(OR(N198="",M198=""),"",N198-M198)</x:f>
      </x:c>
      <x:c r="P198" s="24" t="str">
        <x:f>IFERROR(O198/N198,"")</x:f>
      </x:c>
      <x:c r="Q198" s="13"/>
      <x:c r="R198" s="13"/>
      <x:c r="S198" s="13" t="str">
        <x:f>IF(AND(D198="Можно заказывать",R198="Да",O198&gt;0),"GO","STOP")</x:f>
        <x:v>STOP</x:v>
      </x:c>
      <x:c r="T198" s="13"/>
    </x:row>
    <x:row r="199">
      <x:c r="A199" s="13"/>
      <x:c r="B199" s="13"/>
      <x:c r="C199" s="13"/>
      <x:c r="D199" s="13"/>
      <x:c r="E199" s="13"/>
      <x:c r="F199" s="13"/>
      <x:c r="G199" s="13"/>
      <x:c r="H199" s="22"/>
      <x:c r="I199" s="22"/>
      <x:c r="J199" s="22" t="str">
        <x:f>IF(OR(H199="",I199=""),"",H199*I199)</x:f>
      </x:c>
      <x:c r="K199" s="22"/>
      <x:c r="L199" s="22"/>
      <x:c r="M199" s="22" t="str">
        <x:f>IF(J199="","",J199+IF(K199="",0,K199)+IF(L199="",0,L199))</x:f>
      </x:c>
      <x:c r="N199" s="22"/>
      <x:c r="O199" s="22" t="str">
        <x:f>IF(OR(N199="",M199=""),"",N199-M199)</x:f>
      </x:c>
      <x:c r="P199" s="24" t="str">
        <x:f>IFERROR(O199/N199,"")</x:f>
      </x:c>
      <x:c r="Q199" s="13"/>
      <x:c r="R199" s="13"/>
      <x:c r="S199" s="13" t="str">
        <x:f>IF(AND(D199="Можно заказывать",R199="Да",O199&gt;0),"GO","STOP")</x:f>
        <x:v>STOP</x:v>
      </x:c>
      <x:c r="T199" s="13"/>
    </x:row>
    <x:row r="200">
      <x:c r="A200" s="13"/>
      <x:c r="B200" s="13"/>
      <x:c r="C200" s="13"/>
      <x:c r="D200" s="13"/>
      <x:c r="E200" s="13"/>
      <x:c r="F200" s="13"/>
      <x:c r="G200" s="13"/>
      <x:c r="H200" s="22"/>
      <x:c r="I200" s="22"/>
      <x:c r="J200" s="22" t="str">
        <x:f>IF(OR(H200="",I200=""),"",H200*I200)</x:f>
      </x:c>
      <x:c r="K200" s="22"/>
      <x:c r="L200" s="22"/>
      <x:c r="M200" s="22" t="str">
        <x:f>IF(J200="","",J200+IF(K200="",0,K200)+IF(L200="",0,L200))</x:f>
      </x:c>
      <x:c r="N200" s="22"/>
      <x:c r="O200" s="22" t="str">
        <x:f>IF(OR(N200="",M200=""),"",N200-M200)</x:f>
      </x:c>
      <x:c r="P200" s="24" t="str">
        <x:f>IFERROR(O200/N200,"")</x:f>
      </x:c>
      <x:c r="Q200" s="13"/>
      <x:c r="R200" s="13"/>
      <x:c r="S200" s="13" t="str">
        <x:f>IF(AND(D200="Можно заказывать",R200="Да",O200&gt;0),"GO","STOP")</x:f>
        <x:v>STOP</x:v>
      </x:c>
      <x:c r="T200" s="13"/>
    </x:row>
    <x:row r="201">
      <x:c r="A201" s="13"/>
      <x:c r="B201" s="13"/>
      <x:c r="C201" s="13"/>
      <x:c r="D201" s="13"/>
      <x:c r="E201" s="13"/>
      <x:c r="F201" s="13"/>
      <x:c r="G201" s="13"/>
      <x:c r="H201" s="22"/>
      <x:c r="I201" s="22"/>
      <x:c r="J201" s="22" t="str">
        <x:f>IF(OR(H201="",I201=""),"",H201*I201)</x:f>
      </x:c>
      <x:c r="K201" s="22"/>
      <x:c r="L201" s="22"/>
      <x:c r="M201" s="22" t="str">
        <x:f>IF(J201="","",J201+IF(K201="",0,K201)+IF(L201="",0,L201))</x:f>
      </x:c>
      <x:c r="N201" s="22"/>
      <x:c r="O201" s="22" t="str">
        <x:f>IF(OR(N201="",M201=""),"",N201-M201)</x:f>
      </x:c>
      <x:c r="P201" s="24" t="str">
        <x:f>IFERROR(O201/N201,"")</x:f>
      </x:c>
      <x:c r="Q201" s="13"/>
      <x:c r="R201" s="13"/>
      <x:c r="S201" s="13" t="str">
        <x:f>IF(AND(D201="Можно заказывать",R201="Да",O201&gt;0),"GO","STOP")</x:f>
        <x:v>STOP</x:v>
      </x:c>
      <x:c r="T201" s="13"/>
    </x:row>
    <x:row r="202">
      <x:c r="A202" s="13"/>
      <x:c r="B202" s="13"/>
      <x:c r="C202" s="13"/>
      <x:c r="D202" s="13"/>
      <x:c r="E202" s="13"/>
      <x:c r="F202" s="13"/>
      <x:c r="G202" s="13"/>
      <x:c r="H202" s="22"/>
      <x:c r="I202" s="22"/>
      <x:c r="J202" s="22" t="str">
        <x:f>IF(OR(H202="",I202=""),"",H202*I202)</x:f>
      </x:c>
      <x:c r="K202" s="22"/>
      <x:c r="L202" s="22"/>
      <x:c r="M202" s="22" t="str">
        <x:f>IF(J202="","",J202+IF(K202="",0,K202)+IF(L202="",0,L202))</x:f>
      </x:c>
      <x:c r="N202" s="22"/>
      <x:c r="O202" s="22" t="str">
        <x:f>IF(OR(N202="",M202=""),"",N202-M202)</x:f>
      </x:c>
      <x:c r="P202" s="24" t="str">
        <x:f>IFERROR(O202/N202,"")</x:f>
      </x:c>
      <x:c r="Q202" s="13"/>
      <x:c r="R202" s="13"/>
      <x:c r="S202" s="13" t="str">
        <x:f>IF(AND(D202="Можно заказывать",R202="Да",O202&gt;0),"GO","STOP")</x:f>
        <x:v>STOP</x:v>
      </x:c>
      <x:c r="T202" s="13"/>
    </x:row>
    <x:row r="203">
      <x:c r="A203" s="13"/>
      <x:c r="B203" s="13"/>
      <x:c r="C203" s="13"/>
      <x:c r="D203" s="13"/>
      <x:c r="E203" s="13"/>
      <x:c r="F203" s="13"/>
      <x:c r="G203" s="13"/>
      <x:c r="H203" s="22"/>
      <x:c r="I203" s="22"/>
      <x:c r="J203" s="22" t="str">
        <x:f>IF(OR(H203="",I203=""),"",H203*I203)</x:f>
      </x:c>
      <x:c r="K203" s="22"/>
      <x:c r="L203" s="22"/>
      <x:c r="M203" s="22" t="str">
        <x:f>IF(J203="","",J203+IF(K203="",0,K203)+IF(L203="",0,L203))</x:f>
      </x:c>
      <x:c r="N203" s="22"/>
      <x:c r="O203" s="22" t="str">
        <x:f>IF(OR(N203="",M203=""),"",N203-M203)</x:f>
      </x:c>
      <x:c r="P203" s="24" t="str">
        <x:f>IFERROR(O203/N203,"")</x:f>
      </x:c>
      <x:c r="Q203" s="13"/>
      <x:c r="R203" s="13"/>
      <x:c r="S203" s="13" t="str">
        <x:f>IF(AND(D203="Можно заказывать",R203="Да",O203&gt;0),"GO","STOP")</x:f>
        <x:v>STOP</x:v>
      </x:c>
      <x:c r="T203" s="13"/>
    </x:row>
    <x:row r="204">
      <x:c r="A204" s="13"/>
      <x:c r="B204" s="13"/>
      <x:c r="C204" s="13"/>
      <x:c r="D204" s="13"/>
      <x:c r="E204" s="13"/>
      <x:c r="F204" s="13"/>
      <x:c r="G204" s="13"/>
      <x:c r="H204" s="22"/>
      <x:c r="I204" s="22"/>
      <x:c r="J204" s="22" t="str">
        <x:f>IF(OR(H204="",I204=""),"",H204*I204)</x:f>
      </x:c>
      <x:c r="K204" s="22"/>
      <x:c r="L204" s="22"/>
      <x:c r="M204" s="22" t="str">
        <x:f>IF(J204="","",J204+IF(K204="",0,K204)+IF(L204="",0,L204))</x:f>
      </x:c>
      <x:c r="N204" s="22"/>
      <x:c r="O204" s="22" t="str">
        <x:f>IF(OR(N204="",M204=""),"",N204-M204)</x:f>
      </x:c>
      <x:c r="P204" s="24" t="str">
        <x:f>IFERROR(O204/N204,"")</x:f>
      </x:c>
      <x:c r="Q204" s="13"/>
      <x:c r="R204" s="13"/>
      <x:c r="S204" s="13" t="str">
        <x:f>IF(AND(D204="Можно заказывать",R204="Да",O204&gt;0),"GO","STOP")</x:f>
        <x:v>STOP</x:v>
      </x:c>
      <x:c r="T204" s="13"/>
    </x:row>
    <x:row r="205">
      <x:c r="A205" s="13"/>
      <x:c r="B205" s="13"/>
      <x:c r="C205" s="13"/>
      <x:c r="D205" s="13"/>
      <x:c r="E205" s="13"/>
      <x:c r="F205" s="13"/>
      <x:c r="G205" s="13"/>
      <x:c r="H205" s="22"/>
      <x:c r="I205" s="22"/>
      <x:c r="J205" s="22" t="str">
        <x:f>IF(OR(H205="",I205=""),"",H205*I205)</x:f>
      </x:c>
      <x:c r="K205" s="22"/>
      <x:c r="L205" s="22"/>
      <x:c r="M205" s="22" t="str">
        <x:f>IF(J205="","",J205+IF(K205="",0,K205)+IF(L205="",0,L205))</x:f>
      </x:c>
      <x:c r="N205" s="22"/>
      <x:c r="O205" s="22" t="str">
        <x:f>IF(OR(N205="",M205=""),"",N205-M205)</x:f>
      </x:c>
      <x:c r="P205" s="24" t="str">
        <x:f>IFERROR(O205/N205,"")</x:f>
      </x:c>
      <x:c r="Q205" s="13"/>
      <x:c r="R205" s="13"/>
      <x:c r="S205" s="13" t="str">
        <x:f>IF(AND(D205="Можно заказывать",R205="Да",O205&gt;0),"GO","STOP")</x:f>
        <x:v>STOP</x:v>
      </x:c>
      <x:c r="T205" s="13"/>
    </x:row>
    <x:row r="206">
      <x:c r="A206" s="13"/>
      <x:c r="B206" s="13"/>
      <x:c r="C206" s="13"/>
      <x:c r="D206" s="13"/>
      <x:c r="E206" s="13"/>
      <x:c r="F206" s="13"/>
      <x:c r="G206" s="13"/>
      <x:c r="H206" s="22"/>
      <x:c r="I206" s="22"/>
      <x:c r="J206" s="22" t="str">
        <x:f>IF(OR(H206="",I206=""),"",H206*I206)</x:f>
      </x:c>
      <x:c r="K206" s="22"/>
      <x:c r="L206" s="22"/>
      <x:c r="M206" s="22" t="str">
        <x:f>IF(J206="","",J206+IF(K206="",0,K206)+IF(L206="",0,L206))</x:f>
      </x:c>
      <x:c r="N206" s="22"/>
      <x:c r="O206" s="22" t="str">
        <x:f>IF(OR(N206="",M206=""),"",N206-M206)</x:f>
      </x:c>
      <x:c r="P206" s="24" t="str">
        <x:f>IFERROR(O206/N206,"")</x:f>
      </x:c>
      <x:c r="Q206" s="13"/>
      <x:c r="R206" s="13"/>
      <x:c r="S206" s="13" t="str">
        <x:f>IF(AND(D206="Можно заказывать",R206="Да",O206&gt;0),"GO","STOP")</x:f>
        <x:v>STOP</x:v>
      </x:c>
      <x:c r="T206" s="13"/>
    </x:row>
    <x:row r="207">
      <x:c r="A207" s="13"/>
      <x:c r="B207" s="13"/>
      <x:c r="C207" s="13"/>
      <x:c r="D207" s="13"/>
      <x:c r="E207" s="13"/>
      <x:c r="F207" s="13"/>
      <x:c r="G207" s="13"/>
      <x:c r="H207" s="22"/>
      <x:c r="I207" s="22"/>
      <x:c r="J207" s="22" t="str">
        <x:f>IF(OR(H207="",I207=""),"",H207*I207)</x:f>
      </x:c>
      <x:c r="K207" s="22"/>
      <x:c r="L207" s="22"/>
      <x:c r="M207" s="22" t="str">
        <x:f>IF(J207="","",J207+IF(K207="",0,K207)+IF(L207="",0,L207))</x:f>
      </x:c>
      <x:c r="N207" s="22"/>
      <x:c r="O207" s="22" t="str">
        <x:f>IF(OR(N207="",M207=""),"",N207-M207)</x:f>
      </x:c>
      <x:c r="P207" s="24" t="str">
        <x:f>IFERROR(O207/N207,"")</x:f>
      </x:c>
      <x:c r="Q207" s="13"/>
      <x:c r="R207" s="13"/>
      <x:c r="S207" s="13" t="str">
        <x:f>IF(AND(D207="Можно заказывать",R207="Да",O207&gt;0),"GO","STOP")</x:f>
        <x:v>STOP</x:v>
      </x:c>
      <x:c r="T207" s="13"/>
    </x:row>
    <x:row r="208">
      <x:c r="A208" s="13"/>
      <x:c r="B208" s="13"/>
      <x:c r="C208" s="13"/>
      <x:c r="D208" s="13"/>
      <x:c r="E208" s="13"/>
      <x:c r="F208" s="13"/>
      <x:c r="G208" s="13"/>
      <x:c r="H208" s="22"/>
      <x:c r="I208" s="22"/>
      <x:c r="J208" s="22" t="str">
        <x:f>IF(OR(H208="",I208=""),"",H208*I208)</x:f>
      </x:c>
      <x:c r="K208" s="22"/>
      <x:c r="L208" s="22"/>
      <x:c r="M208" s="22" t="str">
        <x:f>IF(J208="","",J208+IF(K208="",0,K208)+IF(L208="",0,L208))</x:f>
      </x:c>
      <x:c r="N208" s="22"/>
      <x:c r="O208" s="22" t="str">
        <x:f>IF(OR(N208="",M208=""),"",N208-M208)</x:f>
      </x:c>
      <x:c r="P208" s="24" t="str">
        <x:f>IFERROR(O208/N208,"")</x:f>
      </x:c>
      <x:c r="Q208" s="13"/>
      <x:c r="R208" s="13"/>
      <x:c r="S208" s="13" t="str">
        <x:f>IF(AND(D208="Можно заказывать",R208="Да",O208&gt;0),"GO","STOP")</x:f>
        <x:v>STOP</x:v>
      </x:c>
      <x:c r="T208" s="13"/>
    </x:row>
    <x:row r="209">
      <x:c r="A209" s="13"/>
      <x:c r="B209" s="13"/>
      <x:c r="C209" s="13"/>
      <x:c r="D209" s="13"/>
      <x:c r="E209" s="13"/>
      <x:c r="F209" s="13"/>
      <x:c r="G209" s="13"/>
      <x:c r="H209" s="22"/>
      <x:c r="I209" s="22"/>
      <x:c r="J209" s="22" t="str">
        <x:f>IF(OR(H209="",I209=""),"",H209*I209)</x:f>
      </x:c>
      <x:c r="K209" s="22"/>
      <x:c r="L209" s="22"/>
      <x:c r="M209" s="22" t="str">
        <x:f>IF(J209="","",J209+IF(K209="",0,K209)+IF(L209="",0,L209))</x:f>
      </x:c>
      <x:c r="N209" s="22"/>
      <x:c r="O209" s="22" t="str">
        <x:f>IF(OR(N209="",M209=""),"",N209-M209)</x:f>
      </x:c>
      <x:c r="P209" s="24" t="str">
        <x:f>IFERROR(O209/N209,"")</x:f>
      </x:c>
      <x:c r="Q209" s="13"/>
      <x:c r="R209" s="13"/>
      <x:c r="S209" s="13" t="str">
        <x:f>IF(AND(D209="Можно заказывать",R209="Да",O209&gt;0),"GO","STOP")</x:f>
        <x:v>STOP</x:v>
      </x:c>
      <x:c r="T209" s="13"/>
    </x:row>
    <x:row r="210">
      <x:c r="A210" s="13"/>
      <x:c r="B210" s="13"/>
      <x:c r="C210" s="13"/>
      <x:c r="D210" s="13"/>
      <x:c r="E210" s="13"/>
      <x:c r="F210" s="13"/>
      <x:c r="G210" s="13"/>
      <x:c r="H210" s="22"/>
      <x:c r="I210" s="22"/>
      <x:c r="J210" s="22" t="str">
        <x:f>IF(OR(H210="",I210=""),"",H210*I210)</x:f>
      </x:c>
      <x:c r="K210" s="22"/>
      <x:c r="L210" s="22"/>
      <x:c r="M210" s="22" t="str">
        <x:f>IF(J210="","",J210+IF(K210="",0,K210)+IF(L210="",0,L210))</x:f>
      </x:c>
      <x:c r="N210" s="22"/>
      <x:c r="O210" s="22" t="str">
        <x:f>IF(OR(N210="",M210=""),"",N210-M210)</x:f>
      </x:c>
      <x:c r="P210" s="24" t="str">
        <x:f>IFERROR(O210/N210,"")</x:f>
      </x:c>
      <x:c r="Q210" s="13"/>
      <x:c r="R210" s="13"/>
      <x:c r="S210" s="13" t="str">
        <x:f>IF(AND(D210="Можно заказывать",R210="Да",O210&gt;0),"GO","STOP")</x:f>
        <x:v>STOP</x:v>
      </x:c>
      <x:c r="T210" s="13"/>
    </x:row>
    <x:row r="211">
      <x:c r="A211" s="13"/>
      <x:c r="B211" s="13"/>
      <x:c r="C211" s="13"/>
      <x:c r="D211" s="13"/>
      <x:c r="E211" s="13"/>
      <x:c r="F211" s="13"/>
      <x:c r="G211" s="13"/>
      <x:c r="H211" s="22"/>
      <x:c r="I211" s="22"/>
      <x:c r="J211" s="22" t="str">
        <x:f>IF(OR(H211="",I211=""),"",H211*I211)</x:f>
      </x:c>
      <x:c r="K211" s="22"/>
      <x:c r="L211" s="22"/>
      <x:c r="M211" s="22" t="str">
        <x:f>IF(J211="","",J211+IF(K211="",0,K211)+IF(L211="",0,L211))</x:f>
      </x:c>
      <x:c r="N211" s="22"/>
      <x:c r="O211" s="22" t="str">
        <x:f>IF(OR(N211="",M211=""),"",N211-M211)</x:f>
      </x:c>
      <x:c r="P211" s="24" t="str">
        <x:f>IFERROR(O211/N211,"")</x:f>
      </x:c>
      <x:c r="Q211" s="13"/>
      <x:c r="R211" s="13"/>
      <x:c r="S211" s="13" t="str">
        <x:f>IF(AND(D211="Можно заказывать",R211="Да",O211&gt;0),"GO","STOP")</x:f>
        <x:v>STOP</x:v>
      </x:c>
      <x:c r="T211" s="13"/>
    </x:row>
    <x:row r="212">
      <x:c r="A212" s="13"/>
      <x:c r="B212" s="13"/>
      <x:c r="C212" s="13"/>
      <x:c r="D212" s="13"/>
      <x:c r="E212" s="13"/>
      <x:c r="F212" s="13"/>
      <x:c r="G212" s="13"/>
      <x:c r="H212" s="22"/>
      <x:c r="I212" s="22"/>
      <x:c r="J212" s="22" t="str">
        <x:f>IF(OR(H212="",I212=""),"",H212*I212)</x:f>
      </x:c>
      <x:c r="K212" s="22"/>
      <x:c r="L212" s="22"/>
      <x:c r="M212" s="22" t="str">
        <x:f>IF(J212="","",J212+IF(K212="",0,K212)+IF(L212="",0,L212))</x:f>
      </x:c>
      <x:c r="N212" s="22"/>
      <x:c r="O212" s="22" t="str">
        <x:f>IF(OR(N212="",M212=""),"",N212-M212)</x:f>
      </x:c>
      <x:c r="P212" s="24" t="str">
        <x:f>IFERROR(O212/N212,"")</x:f>
      </x:c>
      <x:c r="Q212" s="13"/>
      <x:c r="R212" s="13"/>
      <x:c r="S212" s="13" t="str">
        <x:f>IF(AND(D212="Можно заказывать",R212="Да",O212&gt;0),"GO","STOP")</x:f>
        <x:v>STOP</x:v>
      </x:c>
      <x:c r="T212" s="13"/>
    </x:row>
    <x:row r="213">
      <x:c r="A213" s="13"/>
      <x:c r="B213" s="13"/>
      <x:c r="C213" s="13"/>
      <x:c r="D213" s="13"/>
      <x:c r="E213" s="13"/>
      <x:c r="F213" s="13"/>
      <x:c r="G213" s="13"/>
      <x:c r="H213" s="22"/>
      <x:c r="I213" s="22"/>
      <x:c r="J213" s="22" t="str">
        <x:f>IF(OR(H213="",I213=""),"",H213*I213)</x:f>
      </x:c>
      <x:c r="K213" s="22"/>
      <x:c r="L213" s="22"/>
      <x:c r="M213" s="22" t="str">
        <x:f>IF(J213="","",J213+IF(K213="",0,K213)+IF(L213="",0,L213))</x:f>
      </x:c>
      <x:c r="N213" s="22"/>
      <x:c r="O213" s="22" t="str">
        <x:f>IF(OR(N213="",M213=""),"",N213-M213)</x:f>
      </x:c>
      <x:c r="P213" s="24" t="str">
        <x:f>IFERROR(O213/N213,"")</x:f>
      </x:c>
      <x:c r="Q213" s="13"/>
      <x:c r="R213" s="13"/>
      <x:c r="S213" s="13" t="str">
        <x:f>IF(AND(D213="Можно заказывать",R213="Да",O213&gt;0),"GO","STOP")</x:f>
        <x:v>STOP</x:v>
      </x:c>
      <x:c r="T213" s="13"/>
    </x:row>
    <x:row r="214">
      <x:c r="A214" s="13"/>
      <x:c r="B214" s="13"/>
      <x:c r="C214" s="13"/>
      <x:c r="D214" s="13"/>
      <x:c r="E214" s="13"/>
      <x:c r="F214" s="13"/>
      <x:c r="G214" s="13"/>
      <x:c r="H214" s="22"/>
      <x:c r="I214" s="22"/>
      <x:c r="J214" s="22" t="str">
        <x:f>IF(OR(H214="",I214=""),"",H214*I214)</x:f>
      </x:c>
      <x:c r="K214" s="22"/>
      <x:c r="L214" s="22"/>
      <x:c r="M214" s="22" t="str">
        <x:f>IF(J214="","",J214+IF(K214="",0,K214)+IF(L214="",0,L214))</x:f>
      </x:c>
      <x:c r="N214" s="22"/>
      <x:c r="O214" s="22" t="str">
        <x:f>IF(OR(N214="",M214=""),"",N214-M214)</x:f>
      </x:c>
      <x:c r="P214" s="24" t="str">
        <x:f>IFERROR(O214/N214,"")</x:f>
      </x:c>
      <x:c r="Q214" s="13"/>
      <x:c r="R214" s="13"/>
      <x:c r="S214" s="13" t="str">
        <x:f>IF(AND(D214="Можно заказывать",R214="Да",O214&gt;0),"GO","STOP")</x:f>
        <x:v>STOP</x:v>
      </x:c>
      <x:c r="T214" s="13"/>
    </x:row>
    <x:row r="215">
      <x:c r="A215" s="13"/>
      <x:c r="B215" s="13"/>
      <x:c r="C215" s="13"/>
      <x:c r="D215" s="13"/>
      <x:c r="E215" s="13"/>
      <x:c r="F215" s="13"/>
      <x:c r="G215" s="13"/>
      <x:c r="H215" s="22"/>
      <x:c r="I215" s="22"/>
      <x:c r="J215" s="22" t="str">
        <x:f>IF(OR(H215="",I215=""),"",H215*I215)</x:f>
      </x:c>
      <x:c r="K215" s="22"/>
      <x:c r="L215" s="22"/>
      <x:c r="M215" s="22" t="str">
        <x:f>IF(J215="","",J215+IF(K215="",0,K215)+IF(L215="",0,L215))</x:f>
      </x:c>
      <x:c r="N215" s="22"/>
      <x:c r="O215" s="22" t="str">
        <x:f>IF(OR(N215="",M215=""),"",N215-M215)</x:f>
      </x:c>
      <x:c r="P215" s="24" t="str">
        <x:f>IFERROR(O215/N215,"")</x:f>
      </x:c>
      <x:c r="Q215" s="13"/>
      <x:c r="R215" s="13"/>
      <x:c r="S215" s="13" t="str">
        <x:f>IF(AND(D215="Можно заказывать",R215="Да",O215&gt;0),"GO","STOP")</x:f>
        <x:v>STOP</x:v>
      </x:c>
      <x:c r="T215" s="13"/>
    </x:row>
    <x:row r="216">
      <x:c r="A216" s="13"/>
      <x:c r="B216" s="13"/>
      <x:c r="C216" s="13"/>
      <x:c r="D216" s="13"/>
      <x:c r="E216" s="13"/>
      <x:c r="F216" s="13"/>
      <x:c r="G216" s="13"/>
      <x:c r="H216" s="22"/>
      <x:c r="I216" s="22"/>
      <x:c r="J216" s="22" t="str">
        <x:f>IF(OR(H216="",I216=""),"",H216*I216)</x:f>
      </x:c>
      <x:c r="K216" s="22"/>
      <x:c r="L216" s="22"/>
      <x:c r="M216" s="22" t="str">
        <x:f>IF(J216="","",J216+IF(K216="",0,K216)+IF(L216="",0,L216))</x:f>
      </x:c>
      <x:c r="N216" s="22"/>
      <x:c r="O216" s="22" t="str">
        <x:f>IF(OR(N216="",M216=""),"",N216-M216)</x:f>
      </x:c>
      <x:c r="P216" s="24" t="str">
        <x:f>IFERROR(O216/N216,"")</x:f>
      </x:c>
      <x:c r="Q216" s="13"/>
      <x:c r="R216" s="13"/>
      <x:c r="S216" s="13" t="str">
        <x:f>IF(AND(D216="Можно заказывать",R216="Да",O216&gt;0),"GO","STOP")</x:f>
        <x:v>STOP</x:v>
      </x:c>
      <x:c r="T216" s="13"/>
    </x:row>
    <x:row r="217">
      <x:c r="A217" s="13"/>
      <x:c r="B217" s="13"/>
      <x:c r="C217" s="13"/>
      <x:c r="D217" s="13"/>
      <x:c r="E217" s="13"/>
      <x:c r="F217" s="13"/>
      <x:c r="G217" s="13"/>
      <x:c r="H217" s="22"/>
      <x:c r="I217" s="22"/>
      <x:c r="J217" s="22" t="str">
        <x:f>IF(OR(H217="",I217=""),"",H217*I217)</x:f>
      </x:c>
      <x:c r="K217" s="22"/>
      <x:c r="L217" s="22"/>
      <x:c r="M217" s="22" t="str">
        <x:f>IF(J217="","",J217+IF(K217="",0,K217)+IF(L217="",0,L217))</x:f>
      </x:c>
      <x:c r="N217" s="22"/>
      <x:c r="O217" s="22" t="str">
        <x:f>IF(OR(N217="",M217=""),"",N217-M217)</x:f>
      </x:c>
      <x:c r="P217" s="24" t="str">
        <x:f>IFERROR(O217/N217,"")</x:f>
      </x:c>
      <x:c r="Q217" s="13"/>
      <x:c r="R217" s="13"/>
      <x:c r="S217" s="13" t="str">
        <x:f>IF(AND(D217="Можно заказывать",R217="Да",O217&gt;0),"GO","STOP")</x:f>
        <x:v>STOP</x:v>
      </x:c>
      <x:c r="T217" s="13"/>
    </x:row>
    <x:row r="218">
      <x:c r="A218" s="13"/>
      <x:c r="B218" s="13"/>
      <x:c r="C218" s="13"/>
      <x:c r="D218" s="13"/>
      <x:c r="E218" s="13"/>
      <x:c r="F218" s="13"/>
      <x:c r="G218" s="13"/>
      <x:c r="H218" s="22"/>
      <x:c r="I218" s="22"/>
      <x:c r="J218" s="22" t="str">
        <x:f>IF(OR(H218="",I218=""),"",H218*I218)</x:f>
      </x:c>
      <x:c r="K218" s="22"/>
      <x:c r="L218" s="22"/>
      <x:c r="M218" s="22" t="str">
        <x:f>IF(J218="","",J218+IF(K218="",0,K218)+IF(L218="",0,L218))</x:f>
      </x:c>
      <x:c r="N218" s="22"/>
      <x:c r="O218" s="22" t="str">
        <x:f>IF(OR(N218="",M218=""),"",N218-M218)</x:f>
      </x:c>
      <x:c r="P218" s="24" t="str">
        <x:f>IFERROR(O218/N218,"")</x:f>
      </x:c>
      <x:c r="Q218" s="13"/>
      <x:c r="R218" s="13"/>
      <x:c r="S218" s="13" t="str">
        <x:f>IF(AND(D218="Можно заказывать",R218="Да",O218&gt;0),"GO","STOP")</x:f>
        <x:v>STOP</x:v>
      </x:c>
      <x:c r="T218" s="13"/>
    </x:row>
    <x:row r="219">
      <x:c r="A219" s="13"/>
      <x:c r="B219" s="13"/>
      <x:c r="C219" s="13"/>
      <x:c r="D219" s="13"/>
      <x:c r="E219" s="13"/>
      <x:c r="F219" s="13"/>
      <x:c r="G219" s="13"/>
      <x:c r="H219" s="22"/>
      <x:c r="I219" s="22"/>
      <x:c r="J219" s="22" t="str">
        <x:f>IF(OR(H219="",I219=""),"",H219*I219)</x:f>
      </x:c>
      <x:c r="K219" s="22"/>
      <x:c r="L219" s="22"/>
      <x:c r="M219" s="22" t="str">
        <x:f>IF(J219="","",J219+IF(K219="",0,K219)+IF(L219="",0,L219))</x:f>
      </x:c>
      <x:c r="N219" s="22"/>
      <x:c r="O219" s="22" t="str">
        <x:f>IF(OR(N219="",M219=""),"",N219-M219)</x:f>
      </x:c>
      <x:c r="P219" s="24" t="str">
        <x:f>IFERROR(O219/N219,"")</x:f>
      </x:c>
      <x:c r="Q219" s="13"/>
      <x:c r="R219" s="13"/>
      <x:c r="S219" s="13" t="str">
        <x:f>IF(AND(D219="Можно заказывать",R219="Да",O219&gt;0),"GO","STOP")</x:f>
        <x:v>STOP</x:v>
      </x:c>
      <x:c r="T219" s="13"/>
    </x:row>
    <x:row r="220">
      <x:c r="A220" s="13"/>
      <x:c r="B220" s="13"/>
      <x:c r="C220" s="13"/>
      <x:c r="D220" s="13"/>
      <x:c r="E220" s="13"/>
      <x:c r="F220" s="13"/>
      <x:c r="G220" s="13"/>
      <x:c r="H220" s="22"/>
      <x:c r="I220" s="22"/>
      <x:c r="J220" s="22" t="str">
        <x:f>IF(OR(H220="",I220=""),"",H220*I220)</x:f>
      </x:c>
      <x:c r="K220" s="22"/>
      <x:c r="L220" s="22"/>
      <x:c r="M220" s="22" t="str">
        <x:f>IF(J220="","",J220+IF(K220="",0,K220)+IF(L220="",0,L220))</x:f>
      </x:c>
      <x:c r="N220" s="22"/>
      <x:c r="O220" s="22" t="str">
        <x:f>IF(OR(N220="",M220=""),"",N220-M220)</x:f>
      </x:c>
      <x:c r="P220" s="24" t="str">
        <x:f>IFERROR(O220/N220,"")</x:f>
      </x:c>
      <x:c r="Q220" s="13"/>
      <x:c r="R220" s="13"/>
      <x:c r="S220" s="13" t="str">
        <x:f>IF(AND(D220="Можно заказывать",R220="Да",O220&gt;0),"GO","STOP")</x:f>
        <x:v>STOP</x:v>
      </x:c>
      <x:c r="T220" s="13"/>
    </x:row>
    <x:row r="221">
      <x:c r="A221" s="13"/>
      <x:c r="B221" s="13"/>
      <x:c r="C221" s="13"/>
      <x:c r="D221" s="13"/>
      <x:c r="E221" s="13"/>
      <x:c r="F221" s="13"/>
      <x:c r="G221" s="13"/>
      <x:c r="H221" s="22"/>
      <x:c r="I221" s="22"/>
      <x:c r="J221" s="22" t="str">
        <x:f>IF(OR(H221="",I221=""),"",H221*I221)</x:f>
      </x:c>
      <x:c r="K221" s="22"/>
      <x:c r="L221" s="22"/>
      <x:c r="M221" s="22" t="str">
        <x:f>IF(J221="","",J221+IF(K221="",0,K221)+IF(L221="",0,L221))</x:f>
      </x:c>
      <x:c r="N221" s="22"/>
      <x:c r="O221" s="22" t="str">
        <x:f>IF(OR(N221="",M221=""),"",N221-M221)</x:f>
      </x:c>
      <x:c r="P221" s="24" t="str">
        <x:f>IFERROR(O221/N221,"")</x:f>
      </x:c>
      <x:c r="Q221" s="13"/>
      <x:c r="R221" s="13"/>
      <x:c r="S221" s="13" t="str">
        <x:f>IF(AND(D221="Можно заказывать",R221="Да",O221&gt;0),"GO","STOP")</x:f>
        <x:v>STOP</x:v>
      </x:c>
      <x:c r="T221" s="13"/>
    </x:row>
    <x:row r="222">
      <x:c r="A222" s="13"/>
      <x:c r="B222" s="13"/>
      <x:c r="C222" s="13"/>
      <x:c r="D222" s="13"/>
      <x:c r="E222" s="13"/>
      <x:c r="F222" s="13"/>
      <x:c r="G222" s="13"/>
      <x:c r="H222" s="22"/>
      <x:c r="I222" s="22"/>
      <x:c r="J222" s="22" t="str">
        <x:f>IF(OR(H222="",I222=""),"",H222*I222)</x:f>
      </x:c>
      <x:c r="K222" s="22"/>
      <x:c r="L222" s="22"/>
      <x:c r="M222" s="22" t="str">
        <x:f>IF(J222="","",J222+IF(K222="",0,K222)+IF(L222="",0,L222))</x:f>
      </x:c>
      <x:c r="N222" s="22"/>
      <x:c r="O222" s="22" t="str">
        <x:f>IF(OR(N222="",M222=""),"",N222-M222)</x:f>
      </x:c>
      <x:c r="P222" s="24" t="str">
        <x:f>IFERROR(O222/N222,"")</x:f>
      </x:c>
      <x:c r="Q222" s="13"/>
      <x:c r="R222" s="13"/>
      <x:c r="S222" s="13" t="str">
        <x:f>IF(AND(D222="Можно заказывать",R222="Да",O222&gt;0),"GO","STOP")</x:f>
        <x:v>STOP</x:v>
      </x:c>
      <x:c r="T222" s="13"/>
    </x:row>
    <x:row r="223">
      <x:c r="A223" s="13"/>
      <x:c r="B223" s="13"/>
      <x:c r="C223" s="13"/>
      <x:c r="D223" s="13"/>
      <x:c r="E223" s="13"/>
      <x:c r="F223" s="13"/>
      <x:c r="G223" s="13"/>
      <x:c r="H223" s="22"/>
      <x:c r="I223" s="22"/>
      <x:c r="J223" s="22" t="str">
        <x:f>IF(OR(H223="",I223=""),"",H223*I223)</x:f>
      </x:c>
      <x:c r="K223" s="22"/>
      <x:c r="L223" s="22"/>
      <x:c r="M223" s="22" t="str">
        <x:f>IF(J223="","",J223+IF(K223="",0,K223)+IF(L223="",0,L223))</x:f>
      </x:c>
      <x:c r="N223" s="22"/>
      <x:c r="O223" s="22" t="str">
        <x:f>IF(OR(N223="",M223=""),"",N223-M223)</x:f>
      </x:c>
      <x:c r="P223" s="24" t="str">
        <x:f>IFERROR(O223/N223,"")</x:f>
      </x:c>
      <x:c r="Q223" s="13"/>
      <x:c r="R223" s="13"/>
      <x:c r="S223" s="13" t="str">
        <x:f>IF(AND(D223="Можно заказывать",R223="Да",O223&gt;0),"GO","STOP")</x:f>
        <x:v>STOP</x:v>
      </x:c>
      <x:c r="T223" s="13"/>
    </x:row>
    <x:row r="224">
      <x:c r="A224" s="13"/>
      <x:c r="B224" s="13"/>
      <x:c r="C224" s="13"/>
      <x:c r="D224" s="13"/>
      <x:c r="E224" s="13"/>
      <x:c r="F224" s="13"/>
      <x:c r="G224" s="13"/>
      <x:c r="H224" s="22"/>
      <x:c r="I224" s="22"/>
      <x:c r="J224" s="22" t="str">
        <x:f>IF(OR(H224="",I224=""),"",H224*I224)</x:f>
      </x:c>
      <x:c r="K224" s="22"/>
      <x:c r="L224" s="22"/>
      <x:c r="M224" s="22" t="str">
        <x:f>IF(J224="","",J224+IF(K224="",0,K224)+IF(L224="",0,L224))</x:f>
      </x:c>
      <x:c r="N224" s="22"/>
      <x:c r="O224" s="22" t="str">
        <x:f>IF(OR(N224="",M224=""),"",N224-M224)</x:f>
      </x:c>
      <x:c r="P224" s="24" t="str">
        <x:f>IFERROR(O224/N224,"")</x:f>
      </x:c>
      <x:c r="Q224" s="13"/>
      <x:c r="R224" s="13"/>
      <x:c r="S224" s="13" t="str">
        <x:f>IF(AND(D224="Можно заказывать",R224="Да",O224&gt;0),"GO","STOP")</x:f>
        <x:v>STOP</x:v>
      </x:c>
      <x:c r="T224" s="13"/>
    </x:row>
    <x:row r="225">
      <x:c r="A225" s="13"/>
      <x:c r="B225" s="13"/>
      <x:c r="C225" s="13"/>
      <x:c r="D225" s="13"/>
      <x:c r="E225" s="13"/>
      <x:c r="F225" s="13"/>
      <x:c r="G225" s="13"/>
      <x:c r="H225" s="22"/>
      <x:c r="I225" s="22"/>
      <x:c r="J225" s="22" t="str">
        <x:f>IF(OR(H225="",I225=""),"",H225*I225)</x:f>
      </x:c>
      <x:c r="K225" s="22"/>
      <x:c r="L225" s="22"/>
      <x:c r="M225" s="22" t="str">
        <x:f>IF(J225="","",J225+IF(K225="",0,K225)+IF(L225="",0,L225))</x:f>
      </x:c>
      <x:c r="N225" s="22"/>
      <x:c r="O225" s="22" t="str">
        <x:f>IF(OR(N225="",M225=""),"",N225-M225)</x:f>
      </x:c>
      <x:c r="P225" s="24" t="str">
        <x:f>IFERROR(O225/N225,"")</x:f>
      </x:c>
      <x:c r="Q225" s="13"/>
      <x:c r="R225" s="13"/>
      <x:c r="S225" s="13" t="str">
        <x:f>IF(AND(D225="Можно заказывать",R225="Да",O225&gt;0),"GO","STOP")</x:f>
        <x:v>STOP</x:v>
      </x:c>
      <x:c r="T225" s="13"/>
    </x:row>
    <x:row r="226">
      <x:c r="A226" s="13"/>
      <x:c r="B226" s="13"/>
      <x:c r="C226" s="13"/>
      <x:c r="D226" s="13"/>
      <x:c r="E226" s="13"/>
      <x:c r="F226" s="13"/>
      <x:c r="G226" s="13"/>
      <x:c r="H226" s="22"/>
      <x:c r="I226" s="22"/>
      <x:c r="J226" s="22" t="str">
        <x:f>IF(OR(H226="",I226=""),"",H226*I226)</x:f>
      </x:c>
      <x:c r="K226" s="22"/>
      <x:c r="L226" s="22"/>
      <x:c r="M226" s="22" t="str">
        <x:f>IF(J226="","",J226+IF(K226="",0,K226)+IF(L226="",0,L226))</x:f>
      </x:c>
      <x:c r="N226" s="22"/>
      <x:c r="O226" s="22" t="str">
        <x:f>IF(OR(N226="",M226=""),"",N226-M226)</x:f>
      </x:c>
      <x:c r="P226" s="24" t="str">
        <x:f>IFERROR(O226/N226,"")</x:f>
      </x:c>
      <x:c r="Q226" s="13"/>
      <x:c r="R226" s="13"/>
      <x:c r="S226" s="13" t="str">
        <x:f>IF(AND(D226="Можно заказывать",R226="Да",O226&gt;0),"GO","STOP")</x:f>
        <x:v>STOP</x:v>
      </x:c>
      <x:c r="T226" s="13"/>
    </x:row>
    <x:row r="227">
      <x:c r="A227" s="13"/>
      <x:c r="B227" s="13"/>
      <x:c r="C227" s="13"/>
      <x:c r="D227" s="13"/>
      <x:c r="E227" s="13"/>
      <x:c r="F227" s="13"/>
      <x:c r="G227" s="13"/>
      <x:c r="H227" s="22"/>
      <x:c r="I227" s="22"/>
      <x:c r="J227" s="22" t="str">
        <x:f>IF(OR(H227="",I227=""),"",H227*I227)</x:f>
      </x:c>
      <x:c r="K227" s="22"/>
      <x:c r="L227" s="22"/>
      <x:c r="M227" s="22" t="str">
        <x:f>IF(J227="","",J227+IF(K227="",0,K227)+IF(L227="",0,L227))</x:f>
      </x:c>
      <x:c r="N227" s="22"/>
      <x:c r="O227" s="22" t="str">
        <x:f>IF(OR(N227="",M227=""),"",N227-M227)</x:f>
      </x:c>
      <x:c r="P227" s="24" t="str">
        <x:f>IFERROR(O227/N227,"")</x:f>
      </x:c>
      <x:c r="Q227" s="13"/>
      <x:c r="R227" s="13"/>
      <x:c r="S227" s="13" t="str">
        <x:f>IF(AND(D227="Можно заказывать",R227="Да",O227&gt;0),"GO","STOP")</x:f>
        <x:v>STOP</x:v>
      </x:c>
      <x:c r="T227" s="13"/>
    </x:row>
    <x:row r="228">
      <x:c r="A228" s="13"/>
      <x:c r="B228" s="13"/>
      <x:c r="C228" s="13"/>
      <x:c r="D228" s="13"/>
      <x:c r="E228" s="13"/>
      <x:c r="F228" s="13"/>
      <x:c r="G228" s="13"/>
      <x:c r="H228" s="22"/>
      <x:c r="I228" s="22"/>
      <x:c r="J228" s="22" t="str">
        <x:f>IF(OR(H228="",I228=""),"",H228*I228)</x:f>
      </x:c>
      <x:c r="K228" s="22"/>
      <x:c r="L228" s="22"/>
      <x:c r="M228" s="22" t="str">
        <x:f>IF(J228="","",J228+IF(K228="",0,K228)+IF(L228="",0,L228))</x:f>
      </x:c>
      <x:c r="N228" s="22"/>
      <x:c r="O228" s="22" t="str">
        <x:f>IF(OR(N228="",M228=""),"",N228-M228)</x:f>
      </x:c>
      <x:c r="P228" s="24" t="str">
        <x:f>IFERROR(O228/N228,"")</x:f>
      </x:c>
      <x:c r="Q228" s="13"/>
      <x:c r="R228" s="13"/>
      <x:c r="S228" s="13" t="str">
        <x:f>IF(AND(D228="Можно заказывать",R228="Да",O228&gt;0),"GO","STOP")</x:f>
        <x:v>STOP</x:v>
      </x:c>
      <x:c r="T228" s="13"/>
    </x:row>
    <x:row r="229">
      <x:c r="A229" s="13"/>
      <x:c r="B229" s="13"/>
      <x:c r="C229" s="13"/>
      <x:c r="D229" s="13"/>
      <x:c r="E229" s="13"/>
      <x:c r="F229" s="13"/>
      <x:c r="G229" s="13"/>
      <x:c r="H229" s="22"/>
      <x:c r="I229" s="22"/>
      <x:c r="J229" s="22" t="str">
        <x:f>IF(OR(H229="",I229=""),"",H229*I229)</x:f>
      </x:c>
      <x:c r="K229" s="22"/>
      <x:c r="L229" s="22"/>
      <x:c r="M229" s="22" t="str">
        <x:f>IF(J229="","",J229+IF(K229="",0,K229)+IF(L229="",0,L229))</x:f>
      </x:c>
      <x:c r="N229" s="22"/>
      <x:c r="O229" s="22" t="str">
        <x:f>IF(OR(N229="",M229=""),"",N229-M229)</x:f>
      </x:c>
      <x:c r="P229" s="24" t="str">
        <x:f>IFERROR(O229/N229,"")</x:f>
      </x:c>
      <x:c r="Q229" s="13"/>
      <x:c r="R229" s="13"/>
      <x:c r="S229" s="13" t="str">
        <x:f>IF(AND(D229="Можно заказывать",R229="Да",O229&gt;0),"GO","STOP")</x:f>
        <x:v>STOP</x:v>
      </x:c>
      <x:c r="T229" s="13"/>
    </x:row>
    <x:row r="230">
      <x:c r="A230" s="13"/>
      <x:c r="B230" s="13"/>
      <x:c r="C230" s="13"/>
      <x:c r="D230" s="13"/>
      <x:c r="E230" s="13"/>
      <x:c r="F230" s="13"/>
      <x:c r="G230" s="13"/>
      <x:c r="H230" s="22"/>
      <x:c r="I230" s="22"/>
      <x:c r="J230" s="22" t="str">
        <x:f>IF(OR(H230="",I230=""),"",H230*I230)</x:f>
      </x:c>
      <x:c r="K230" s="22"/>
      <x:c r="L230" s="22"/>
      <x:c r="M230" s="22" t="str">
        <x:f>IF(J230="","",J230+IF(K230="",0,K230)+IF(L230="",0,L230))</x:f>
      </x:c>
      <x:c r="N230" s="22"/>
      <x:c r="O230" s="22" t="str">
        <x:f>IF(OR(N230="",M230=""),"",N230-M230)</x:f>
      </x:c>
      <x:c r="P230" s="24" t="str">
        <x:f>IFERROR(O230/N230,"")</x:f>
      </x:c>
      <x:c r="Q230" s="13"/>
      <x:c r="R230" s="13"/>
      <x:c r="S230" s="13" t="str">
        <x:f>IF(AND(D230="Можно заказывать",R230="Да",O230&gt;0),"GO","STOP")</x:f>
        <x:v>STOP</x:v>
      </x:c>
      <x:c r="T230" s="13"/>
    </x:row>
    <x:row r="231">
      <x:c r="A231" s="13"/>
      <x:c r="B231" s="13"/>
      <x:c r="C231" s="13"/>
      <x:c r="D231" s="13"/>
      <x:c r="E231" s="13"/>
      <x:c r="F231" s="13"/>
      <x:c r="G231" s="13"/>
      <x:c r="H231" s="22"/>
      <x:c r="I231" s="22"/>
      <x:c r="J231" s="22" t="str">
        <x:f>IF(OR(H231="",I231=""),"",H231*I231)</x:f>
      </x:c>
      <x:c r="K231" s="22"/>
      <x:c r="L231" s="22"/>
      <x:c r="M231" s="22" t="str">
        <x:f>IF(J231="","",J231+IF(K231="",0,K231)+IF(L231="",0,L231))</x:f>
      </x:c>
      <x:c r="N231" s="22"/>
      <x:c r="O231" s="22" t="str">
        <x:f>IF(OR(N231="",M231=""),"",N231-M231)</x:f>
      </x:c>
      <x:c r="P231" s="24" t="str">
        <x:f>IFERROR(O231/N231,"")</x:f>
      </x:c>
      <x:c r="Q231" s="13"/>
      <x:c r="R231" s="13"/>
      <x:c r="S231" s="13" t="str">
        <x:f>IF(AND(D231="Можно заказывать",R231="Да",O231&gt;0),"GO","STOP")</x:f>
        <x:v>STOP</x:v>
      </x:c>
      <x:c r="T231" s="13"/>
    </x:row>
    <x:row r="232">
      <x:c r="A232" s="13"/>
      <x:c r="B232" s="13"/>
      <x:c r="C232" s="13"/>
      <x:c r="D232" s="13"/>
      <x:c r="E232" s="13"/>
      <x:c r="F232" s="13"/>
      <x:c r="G232" s="13"/>
      <x:c r="H232" s="22"/>
      <x:c r="I232" s="22"/>
      <x:c r="J232" s="22" t="str">
        <x:f>IF(OR(H232="",I232=""),"",H232*I232)</x:f>
      </x:c>
      <x:c r="K232" s="22"/>
      <x:c r="L232" s="22"/>
      <x:c r="M232" s="22" t="str">
        <x:f>IF(J232="","",J232+IF(K232="",0,K232)+IF(L232="",0,L232))</x:f>
      </x:c>
      <x:c r="N232" s="22"/>
      <x:c r="O232" s="22" t="str">
        <x:f>IF(OR(N232="",M232=""),"",N232-M232)</x:f>
      </x:c>
      <x:c r="P232" s="24" t="str">
        <x:f>IFERROR(O232/N232,"")</x:f>
      </x:c>
      <x:c r="Q232" s="13"/>
      <x:c r="R232" s="13"/>
      <x:c r="S232" s="13" t="str">
        <x:f>IF(AND(D232="Можно заказывать",R232="Да",O232&gt;0),"GO","STOP")</x:f>
        <x:v>STOP</x:v>
      </x:c>
      <x:c r="T232" s="13"/>
    </x:row>
    <x:row r="233">
      <x:c r="A233" s="13"/>
      <x:c r="B233" s="13"/>
      <x:c r="C233" s="13"/>
      <x:c r="D233" s="13"/>
      <x:c r="E233" s="13"/>
      <x:c r="F233" s="13"/>
      <x:c r="G233" s="13"/>
      <x:c r="H233" s="22"/>
      <x:c r="I233" s="22"/>
      <x:c r="J233" s="22" t="str">
        <x:f>IF(OR(H233="",I233=""),"",H233*I233)</x:f>
      </x:c>
      <x:c r="K233" s="22"/>
      <x:c r="L233" s="22"/>
      <x:c r="M233" s="22" t="str">
        <x:f>IF(J233="","",J233+IF(K233="",0,K233)+IF(L233="",0,L233))</x:f>
      </x:c>
      <x:c r="N233" s="22"/>
      <x:c r="O233" s="22" t="str">
        <x:f>IF(OR(N233="",M233=""),"",N233-M233)</x:f>
      </x:c>
      <x:c r="P233" s="24" t="str">
        <x:f>IFERROR(O233/N233,"")</x:f>
      </x:c>
      <x:c r="Q233" s="13"/>
      <x:c r="R233" s="13"/>
      <x:c r="S233" s="13" t="str">
        <x:f>IF(AND(D233="Можно заказывать",R233="Да",O233&gt;0),"GO","STOP")</x:f>
        <x:v>STOP</x:v>
      </x:c>
      <x:c r="T233" s="13"/>
    </x:row>
    <x:row r="234">
      <x:c r="A234" s="13"/>
      <x:c r="B234" s="13"/>
      <x:c r="C234" s="13"/>
      <x:c r="D234" s="13"/>
      <x:c r="E234" s="13"/>
      <x:c r="F234" s="13"/>
      <x:c r="G234" s="13"/>
      <x:c r="H234" s="22"/>
      <x:c r="I234" s="22"/>
      <x:c r="J234" s="22" t="str">
        <x:f>IF(OR(H234="",I234=""),"",H234*I234)</x:f>
      </x:c>
      <x:c r="K234" s="22"/>
      <x:c r="L234" s="22"/>
      <x:c r="M234" s="22" t="str">
        <x:f>IF(J234="","",J234+IF(K234="",0,K234)+IF(L234="",0,L234))</x:f>
      </x:c>
      <x:c r="N234" s="22"/>
      <x:c r="O234" s="22" t="str">
        <x:f>IF(OR(N234="",M234=""),"",N234-M234)</x:f>
      </x:c>
      <x:c r="P234" s="24" t="str">
        <x:f>IFERROR(O234/N234,"")</x:f>
      </x:c>
      <x:c r="Q234" s="13"/>
      <x:c r="R234" s="13"/>
      <x:c r="S234" s="13" t="str">
        <x:f>IF(AND(D234="Можно заказывать",R234="Да",O234&gt;0),"GO","STOP")</x:f>
        <x:v>STOP</x:v>
      </x:c>
      <x:c r="T234" s="13"/>
    </x:row>
    <x:row r="235">
      <x:c r="A235" s="13"/>
      <x:c r="B235" s="13"/>
      <x:c r="C235" s="13"/>
      <x:c r="D235" s="13"/>
      <x:c r="E235" s="13"/>
      <x:c r="F235" s="13"/>
      <x:c r="G235" s="13"/>
      <x:c r="H235" s="22"/>
      <x:c r="I235" s="22"/>
      <x:c r="J235" s="22" t="str">
        <x:f>IF(OR(H235="",I235=""),"",H235*I235)</x:f>
      </x:c>
      <x:c r="K235" s="22"/>
      <x:c r="L235" s="22"/>
      <x:c r="M235" s="22" t="str">
        <x:f>IF(J235="","",J235+IF(K235="",0,K235)+IF(L235="",0,L235))</x:f>
      </x:c>
      <x:c r="N235" s="22"/>
      <x:c r="O235" s="22" t="str">
        <x:f>IF(OR(N235="",M235=""),"",N235-M235)</x:f>
      </x:c>
      <x:c r="P235" s="24" t="str">
        <x:f>IFERROR(O235/N235,"")</x:f>
      </x:c>
      <x:c r="Q235" s="13"/>
      <x:c r="R235" s="13"/>
      <x:c r="S235" s="13" t="str">
        <x:f>IF(AND(D235="Можно заказывать",R235="Да",O235&gt;0),"GO","STOP")</x:f>
        <x:v>STOP</x:v>
      </x:c>
      <x:c r="T235" s="13"/>
    </x:row>
    <x:row r="236">
      <x:c r="A236" s="13"/>
      <x:c r="B236" s="13"/>
      <x:c r="C236" s="13"/>
      <x:c r="D236" s="13"/>
      <x:c r="E236" s="13"/>
      <x:c r="F236" s="13"/>
      <x:c r="G236" s="13"/>
      <x:c r="H236" s="22"/>
      <x:c r="I236" s="22"/>
      <x:c r="J236" s="22" t="str">
        <x:f>IF(OR(H236="",I236=""),"",H236*I236)</x:f>
      </x:c>
      <x:c r="K236" s="22"/>
      <x:c r="L236" s="22"/>
      <x:c r="M236" s="22" t="str">
        <x:f>IF(J236="","",J236+IF(K236="",0,K236)+IF(L236="",0,L236))</x:f>
      </x:c>
      <x:c r="N236" s="22"/>
      <x:c r="O236" s="22" t="str">
        <x:f>IF(OR(N236="",M236=""),"",N236-M236)</x:f>
      </x:c>
      <x:c r="P236" s="24" t="str">
        <x:f>IFERROR(O236/N236,"")</x:f>
      </x:c>
      <x:c r="Q236" s="13"/>
      <x:c r="R236" s="13"/>
      <x:c r="S236" s="13" t="str">
        <x:f>IF(AND(D236="Можно заказывать",R236="Да",O236&gt;0),"GO","STOP")</x:f>
        <x:v>STOP</x:v>
      </x:c>
      <x:c r="T236" s="13"/>
    </x:row>
    <x:row r="237">
      <x:c r="A237" s="13"/>
      <x:c r="B237" s="13"/>
      <x:c r="C237" s="13"/>
      <x:c r="D237" s="13"/>
      <x:c r="E237" s="13"/>
      <x:c r="F237" s="13"/>
      <x:c r="G237" s="13"/>
      <x:c r="H237" s="22"/>
      <x:c r="I237" s="22"/>
      <x:c r="J237" s="22" t="str">
        <x:f>IF(OR(H237="",I237=""),"",H237*I237)</x:f>
      </x:c>
      <x:c r="K237" s="22"/>
      <x:c r="L237" s="22"/>
      <x:c r="M237" s="22" t="str">
        <x:f>IF(J237="","",J237+IF(K237="",0,K237)+IF(L237="",0,L237))</x:f>
      </x:c>
      <x:c r="N237" s="22"/>
      <x:c r="O237" s="22" t="str">
        <x:f>IF(OR(N237="",M237=""),"",N237-M237)</x:f>
      </x:c>
      <x:c r="P237" s="24" t="str">
        <x:f>IFERROR(O237/N237,"")</x:f>
      </x:c>
      <x:c r="Q237" s="13"/>
      <x:c r="R237" s="13"/>
      <x:c r="S237" s="13" t="str">
        <x:f>IF(AND(D237="Можно заказывать",R237="Да",O237&gt;0),"GO","STOP")</x:f>
        <x:v>STOP</x:v>
      </x:c>
      <x:c r="T237" s="13"/>
    </x:row>
    <x:row r="238">
      <x:c r="A238" s="13"/>
      <x:c r="B238" s="13"/>
      <x:c r="C238" s="13"/>
      <x:c r="D238" s="13"/>
      <x:c r="E238" s="13"/>
      <x:c r="F238" s="13"/>
      <x:c r="G238" s="13"/>
      <x:c r="H238" s="22"/>
      <x:c r="I238" s="22"/>
      <x:c r="J238" s="22" t="str">
        <x:f>IF(OR(H238="",I238=""),"",H238*I238)</x:f>
      </x:c>
      <x:c r="K238" s="22"/>
      <x:c r="L238" s="22"/>
      <x:c r="M238" s="22" t="str">
        <x:f>IF(J238="","",J238+IF(K238="",0,K238)+IF(L238="",0,L238))</x:f>
      </x:c>
      <x:c r="N238" s="22"/>
      <x:c r="O238" s="22" t="str">
        <x:f>IF(OR(N238="",M238=""),"",N238-M238)</x:f>
      </x:c>
      <x:c r="P238" s="24" t="str">
        <x:f>IFERROR(O238/N238,"")</x:f>
      </x:c>
      <x:c r="Q238" s="13"/>
      <x:c r="R238" s="13"/>
      <x:c r="S238" s="13" t="str">
        <x:f>IF(AND(D238="Можно заказывать",R238="Да",O238&gt;0),"GO","STOP")</x:f>
        <x:v>STOP</x:v>
      </x:c>
      <x:c r="T238" s="13"/>
    </x:row>
    <x:row r="239">
      <x:c r="A239" s="13"/>
      <x:c r="B239" s="13"/>
      <x:c r="C239" s="13"/>
      <x:c r="D239" s="13"/>
      <x:c r="E239" s="13"/>
      <x:c r="F239" s="13"/>
      <x:c r="G239" s="13"/>
      <x:c r="H239" s="22"/>
      <x:c r="I239" s="22"/>
      <x:c r="J239" s="22" t="str">
        <x:f>IF(OR(H239="",I239=""),"",H239*I239)</x:f>
      </x:c>
      <x:c r="K239" s="22"/>
      <x:c r="L239" s="22"/>
      <x:c r="M239" s="22" t="str">
        <x:f>IF(J239="","",J239+IF(K239="",0,K239)+IF(L239="",0,L239))</x:f>
      </x:c>
      <x:c r="N239" s="22"/>
      <x:c r="O239" s="22" t="str">
        <x:f>IF(OR(N239="",M239=""),"",N239-M239)</x:f>
      </x:c>
      <x:c r="P239" s="24" t="str">
        <x:f>IFERROR(O239/N239,"")</x:f>
      </x:c>
      <x:c r="Q239" s="13"/>
      <x:c r="R239" s="13"/>
      <x:c r="S239" s="13" t="str">
        <x:f>IF(AND(D239="Можно заказывать",R239="Да",O239&gt;0),"GO","STOP")</x:f>
        <x:v>STOP</x:v>
      </x:c>
      <x:c r="T239" s="13"/>
    </x:row>
    <x:row r="240">
      <x:c r="A240" s="13"/>
      <x:c r="B240" s="13"/>
      <x:c r="C240" s="13"/>
      <x:c r="D240" s="13"/>
      <x:c r="E240" s="13"/>
      <x:c r="F240" s="13"/>
      <x:c r="G240" s="13"/>
      <x:c r="H240" s="22"/>
      <x:c r="I240" s="22"/>
      <x:c r="J240" s="22" t="str">
        <x:f>IF(OR(H240="",I240=""),"",H240*I240)</x:f>
      </x:c>
      <x:c r="K240" s="22"/>
      <x:c r="L240" s="22"/>
      <x:c r="M240" s="22" t="str">
        <x:f>IF(J240="","",J240+IF(K240="",0,K240)+IF(L240="",0,L240))</x:f>
      </x:c>
      <x:c r="N240" s="22"/>
      <x:c r="O240" s="22" t="str">
        <x:f>IF(OR(N240="",M240=""),"",N240-M240)</x:f>
      </x:c>
      <x:c r="P240" s="24" t="str">
        <x:f>IFERROR(O240/N240,"")</x:f>
      </x:c>
      <x:c r="Q240" s="13"/>
      <x:c r="R240" s="13"/>
      <x:c r="S240" s="13" t="str">
        <x:f>IF(AND(D240="Можно заказывать",R240="Да",O240&gt;0),"GO","STOP")</x:f>
        <x:v>STOP</x:v>
      </x:c>
      <x:c r="T240" s="13"/>
    </x:row>
    <x:row r="241">
      <x:c r="A241" s="13"/>
      <x:c r="B241" s="13"/>
      <x:c r="C241" s="13"/>
      <x:c r="D241" s="13"/>
      <x:c r="E241" s="13"/>
      <x:c r="F241" s="13"/>
      <x:c r="G241" s="13"/>
      <x:c r="H241" s="22"/>
      <x:c r="I241" s="22"/>
      <x:c r="J241" s="22" t="str">
        <x:f>IF(OR(H241="",I241=""),"",H241*I241)</x:f>
      </x:c>
      <x:c r="K241" s="22"/>
      <x:c r="L241" s="22"/>
      <x:c r="M241" s="22" t="str">
        <x:f>IF(J241="","",J241+IF(K241="",0,K241)+IF(L241="",0,L241))</x:f>
      </x:c>
      <x:c r="N241" s="22"/>
      <x:c r="O241" s="22" t="str">
        <x:f>IF(OR(N241="",M241=""),"",N241-M241)</x:f>
      </x:c>
      <x:c r="P241" s="24" t="str">
        <x:f>IFERROR(O241/N241,"")</x:f>
      </x:c>
      <x:c r="Q241" s="13"/>
      <x:c r="R241" s="13"/>
      <x:c r="S241" s="13" t="str">
        <x:f>IF(AND(D241="Можно заказывать",R241="Да",O241&gt;0),"GO","STOP")</x:f>
        <x:v>STOP</x:v>
      </x:c>
      <x:c r="T241" s="13"/>
    </x:row>
    <x:row r="242">
      <x:c r="A242" s="13"/>
      <x:c r="B242" s="13"/>
      <x:c r="C242" s="13"/>
      <x:c r="D242" s="13"/>
      <x:c r="E242" s="13"/>
      <x:c r="F242" s="13"/>
      <x:c r="G242" s="13"/>
      <x:c r="H242" s="22"/>
      <x:c r="I242" s="22"/>
      <x:c r="J242" s="22" t="str">
        <x:f>IF(OR(H242="",I242=""),"",H242*I242)</x:f>
      </x:c>
      <x:c r="K242" s="22"/>
      <x:c r="L242" s="22"/>
      <x:c r="M242" s="22" t="str">
        <x:f>IF(J242="","",J242+IF(K242="",0,K242)+IF(L242="",0,L242))</x:f>
      </x:c>
      <x:c r="N242" s="22"/>
      <x:c r="O242" s="22" t="str">
        <x:f>IF(OR(N242="",M242=""),"",N242-M242)</x:f>
      </x:c>
      <x:c r="P242" s="24" t="str">
        <x:f>IFERROR(O242/N242,"")</x:f>
      </x:c>
      <x:c r="Q242" s="13"/>
      <x:c r="R242" s="13"/>
      <x:c r="S242" s="13" t="str">
        <x:f>IF(AND(D242="Можно заказывать",R242="Да",O242&gt;0),"GO","STOP")</x:f>
        <x:v>STOP</x:v>
      </x:c>
      <x:c r="T242" s="13"/>
    </x:row>
    <x:row r="243">
      <x:c r="A243" s="13"/>
      <x:c r="B243" s="13"/>
      <x:c r="C243" s="13"/>
      <x:c r="D243" s="13"/>
      <x:c r="E243" s="13"/>
      <x:c r="F243" s="13"/>
      <x:c r="G243" s="13"/>
      <x:c r="H243" s="22"/>
      <x:c r="I243" s="22"/>
      <x:c r="J243" s="22" t="str">
        <x:f>IF(OR(H243="",I243=""),"",H243*I243)</x:f>
      </x:c>
      <x:c r="K243" s="22"/>
      <x:c r="L243" s="22"/>
      <x:c r="M243" s="22" t="str">
        <x:f>IF(J243="","",J243+IF(K243="",0,K243)+IF(L243="",0,L243))</x:f>
      </x:c>
      <x:c r="N243" s="22"/>
      <x:c r="O243" s="22" t="str">
        <x:f>IF(OR(N243="",M243=""),"",N243-M243)</x:f>
      </x:c>
      <x:c r="P243" s="24" t="str">
        <x:f>IFERROR(O243/N243,"")</x:f>
      </x:c>
      <x:c r="Q243" s="13"/>
      <x:c r="R243" s="13"/>
      <x:c r="S243" s="13" t="str">
        <x:f>IF(AND(D243="Можно заказывать",R243="Да",O243&gt;0),"GO","STOP")</x:f>
        <x:v>STOP</x:v>
      </x:c>
      <x:c r="T243" s="13"/>
    </x:row>
    <x:row r="244">
      <x:c r="A244" s="13"/>
      <x:c r="B244" s="13"/>
      <x:c r="C244" s="13"/>
      <x:c r="D244" s="13"/>
      <x:c r="E244" s="13"/>
      <x:c r="F244" s="13"/>
      <x:c r="G244" s="13"/>
      <x:c r="H244" s="22"/>
      <x:c r="I244" s="22"/>
      <x:c r="J244" s="22" t="str">
        <x:f>IF(OR(H244="",I244=""),"",H244*I244)</x:f>
      </x:c>
      <x:c r="K244" s="22"/>
      <x:c r="L244" s="22"/>
      <x:c r="M244" s="22" t="str">
        <x:f>IF(J244="","",J244+IF(K244="",0,K244)+IF(L244="",0,L244))</x:f>
      </x:c>
      <x:c r="N244" s="22"/>
      <x:c r="O244" s="22" t="str">
        <x:f>IF(OR(N244="",M244=""),"",N244-M244)</x:f>
      </x:c>
      <x:c r="P244" s="24" t="str">
        <x:f>IFERROR(O244/N244,"")</x:f>
      </x:c>
      <x:c r="Q244" s="13"/>
      <x:c r="R244" s="13"/>
      <x:c r="S244" s="13" t="str">
        <x:f>IF(AND(D244="Можно заказывать",R244="Да",O244&gt;0),"GO","STOP")</x:f>
        <x:v>STOP</x:v>
      </x:c>
      <x:c r="T244" s="13"/>
    </x:row>
    <x:row r="245">
      <x:c r="A245" s="13"/>
      <x:c r="B245" s="13"/>
      <x:c r="C245" s="13"/>
      <x:c r="D245" s="13"/>
      <x:c r="E245" s="13"/>
      <x:c r="F245" s="13"/>
      <x:c r="G245" s="13"/>
      <x:c r="H245" s="22"/>
      <x:c r="I245" s="22"/>
      <x:c r="J245" s="22" t="str">
        <x:f>IF(OR(H245="",I245=""),"",H245*I245)</x:f>
      </x:c>
      <x:c r="K245" s="22"/>
      <x:c r="L245" s="22"/>
      <x:c r="M245" s="22" t="str">
        <x:f>IF(J245="","",J245+IF(K245="",0,K245)+IF(L245="",0,L245))</x:f>
      </x:c>
      <x:c r="N245" s="22"/>
      <x:c r="O245" s="22" t="str">
        <x:f>IF(OR(N245="",M245=""),"",N245-M245)</x:f>
      </x:c>
      <x:c r="P245" s="24" t="str">
        <x:f>IFERROR(O245/N245,"")</x:f>
      </x:c>
      <x:c r="Q245" s="13"/>
      <x:c r="R245" s="13"/>
      <x:c r="S245" s="13" t="str">
        <x:f>IF(AND(D245="Можно заказывать",R245="Да",O245&gt;0),"GO","STOP")</x:f>
        <x:v>STOP</x:v>
      </x:c>
      <x:c r="T245" s="13"/>
    </x:row>
    <x:row r="246">
      <x:c r="A246" s="13"/>
      <x:c r="B246" s="13"/>
      <x:c r="C246" s="13"/>
      <x:c r="D246" s="13"/>
      <x:c r="E246" s="13"/>
      <x:c r="F246" s="13"/>
      <x:c r="G246" s="13"/>
      <x:c r="H246" s="22"/>
      <x:c r="I246" s="22"/>
      <x:c r="J246" s="22" t="str">
        <x:f>IF(OR(H246="",I246=""),"",H246*I246)</x:f>
      </x:c>
      <x:c r="K246" s="22"/>
      <x:c r="L246" s="22"/>
      <x:c r="M246" s="22" t="str">
        <x:f>IF(J246="","",J246+IF(K246="",0,K246)+IF(L246="",0,L246))</x:f>
      </x:c>
      <x:c r="N246" s="22"/>
      <x:c r="O246" s="22" t="str">
        <x:f>IF(OR(N246="",M246=""),"",N246-M246)</x:f>
      </x:c>
      <x:c r="P246" s="24" t="str">
        <x:f>IFERROR(O246/N246,"")</x:f>
      </x:c>
      <x:c r="Q246" s="13"/>
      <x:c r="R246" s="13"/>
      <x:c r="S246" s="13" t="str">
        <x:f>IF(AND(D246="Можно заказывать",R246="Да",O246&gt;0),"GO","STOP")</x:f>
        <x:v>STOP</x:v>
      </x:c>
      <x:c r="T246" s="13"/>
    </x:row>
    <x:row r="247">
      <x:c r="A247" s="13"/>
      <x:c r="B247" s="13"/>
      <x:c r="C247" s="13"/>
      <x:c r="D247" s="13"/>
      <x:c r="E247" s="13"/>
      <x:c r="F247" s="13"/>
      <x:c r="G247" s="13"/>
      <x:c r="H247" s="22"/>
      <x:c r="I247" s="22"/>
      <x:c r="J247" s="22" t="str">
        <x:f>IF(OR(H247="",I247=""),"",H247*I247)</x:f>
      </x:c>
      <x:c r="K247" s="22"/>
      <x:c r="L247" s="22"/>
      <x:c r="M247" s="22" t="str">
        <x:f>IF(J247="","",J247+IF(K247="",0,K247)+IF(L247="",0,L247))</x:f>
      </x:c>
      <x:c r="N247" s="22"/>
      <x:c r="O247" s="22" t="str">
        <x:f>IF(OR(N247="",M247=""),"",N247-M247)</x:f>
      </x:c>
      <x:c r="P247" s="24" t="str">
        <x:f>IFERROR(O247/N247,"")</x:f>
      </x:c>
      <x:c r="Q247" s="13"/>
      <x:c r="R247" s="13"/>
      <x:c r="S247" s="13" t="str">
        <x:f>IF(AND(D247="Можно заказывать",R247="Да",O247&gt;0),"GO","STOP")</x:f>
        <x:v>STOP</x:v>
      </x:c>
      <x:c r="T247" s="13"/>
    </x:row>
    <x:row r="248">
      <x:c r="A248" s="13"/>
      <x:c r="B248" s="13"/>
      <x:c r="C248" s="13"/>
      <x:c r="D248" s="13"/>
      <x:c r="E248" s="13"/>
      <x:c r="F248" s="13"/>
      <x:c r="G248" s="13"/>
      <x:c r="H248" s="22"/>
      <x:c r="I248" s="22"/>
      <x:c r="J248" s="22" t="str">
        <x:f>IF(OR(H248="",I248=""),"",H248*I248)</x:f>
      </x:c>
      <x:c r="K248" s="22"/>
      <x:c r="L248" s="22"/>
      <x:c r="M248" s="22" t="str">
        <x:f>IF(J248="","",J248+IF(K248="",0,K248)+IF(L248="",0,L248))</x:f>
      </x:c>
      <x:c r="N248" s="22"/>
      <x:c r="O248" s="22" t="str">
        <x:f>IF(OR(N248="",M248=""),"",N248-M248)</x:f>
      </x:c>
      <x:c r="P248" s="24" t="str">
        <x:f>IFERROR(O248/N248,"")</x:f>
      </x:c>
      <x:c r="Q248" s="13"/>
      <x:c r="R248" s="13"/>
      <x:c r="S248" s="13" t="str">
        <x:f>IF(AND(D248="Можно заказывать",R248="Да",O248&gt;0),"GO","STOP")</x:f>
        <x:v>STOP</x:v>
      </x:c>
      <x:c r="T248" s="13"/>
    </x:row>
    <x:row r="249">
      <x:c r="A249" s="13"/>
      <x:c r="B249" s="13"/>
      <x:c r="C249" s="13"/>
      <x:c r="D249" s="13"/>
      <x:c r="E249" s="13"/>
      <x:c r="F249" s="13"/>
      <x:c r="G249" s="13"/>
      <x:c r="H249" s="22"/>
      <x:c r="I249" s="22"/>
      <x:c r="J249" s="22" t="str">
        <x:f>IF(OR(H249="",I249=""),"",H249*I249)</x:f>
      </x:c>
      <x:c r="K249" s="22"/>
      <x:c r="L249" s="22"/>
      <x:c r="M249" s="22" t="str">
        <x:f>IF(J249="","",J249+IF(K249="",0,K249)+IF(L249="",0,L249))</x:f>
      </x:c>
      <x:c r="N249" s="22"/>
      <x:c r="O249" s="22" t="str">
        <x:f>IF(OR(N249="",M249=""),"",N249-M249)</x:f>
      </x:c>
      <x:c r="P249" s="24" t="str">
        <x:f>IFERROR(O249/N249,"")</x:f>
      </x:c>
      <x:c r="Q249" s="13"/>
      <x:c r="R249" s="13"/>
      <x:c r="S249" s="13" t="str">
        <x:f>IF(AND(D249="Можно заказывать",R249="Да",O249&gt;0),"GO","STOP")</x:f>
        <x:v>STOP</x:v>
      </x:c>
      <x:c r="T249" s="13"/>
    </x:row>
    <x:row r="250">
      <x:c r="A250" s="13"/>
      <x:c r="B250" s="13"/>
      <x:c r="C250" s="13"/>
      <x:c r="D250" s="13"/>
      <x:c r="E250" s="13"/>
      <x:c r="F250" s="13"/>
      <x:c r="G250" s="13"/>
      <x:c r="H250" s="22"/>
      <x:c r="I250" s="22"/>
      <x:c r="J250" s="22" t="str">
        <x:f>IF(OR(H250="",I250=""),"",H250*I250)</x:f>
      </x:c>
      <x:c r="K250" s="22"/>
      <x:c r="L250" s="22"/>
      <x:c r="M250" s="22" t="str">
        <x:f>IF(J250="","",J250+IF(K250="",0,K250)+IF(L250="",0,L250))</x:f>
      </x:c>
      <x:c r="N250" s="22"/>
      <x:c r="O250" s="22" t="str">
        <x:f>IF(OR(N250="",M250=""),"",N250-M250)</x:f>
      </x:c>
      <x:c r="P250" s="24" t="str">
        <x:f>IFERROR(O250/N250,"")</x:f>
      </x:c>
      <x:c r="Q250" s="13"/>
      <x:c r="R250" s="13"/>
      <x:c r="S250" s="13" t="str">
        <x:f>IF(AND(D250="Можно заказывать",R250="Да",O250&gt;0),"GO","STOP")</x:f>
        <x:v>STOP</x:v>
      </x:c>
      <x:c r="T250" s="13"/>
    </x:row>
    <x:row r="251">
      <x:c r="A251" s="13"/>
      <x:c r="B251" s="13"/>
      <x:c r="C251" s="13"/>
      <x:c r="D251" s="13"/>
      <x:c r="E251" s="13"/>
      <x:c r="F251" s="13"/>
      <x:c r="G251" s="13"/>
      <x:c r="H251" s="22"/>
      <x:c r="I251" s="22"/>
      <x:c r="J251" s="22" t="str">
        <x:f>IF(OR(H251="",I251=""),"",H251*I251)</x:f>
      </x:c>
      <x:c r="K251" s="22"/>
      <x:c r="L251" s="22"/>
      <x:c r="M251" s="22" t="str">
        <x:f>IF(J251="","",J251+IF(K251="",0,K251)+IF(L251="",0,L251))</x:f>
      </x:c>
      <x:c r="N251" s="22"/>
      <x:c r="O251" s="22" t="str">
        <x:f>IF(OR(N251="",M251=""),"",N251-M251)</x:f>
      </x:c>
      <x:c r="P251" s="24" t="str">
        <x:f>IFERROR(O251/N251,"")</x:f>
      </x:c>
      <x:c r="Q251" s="13"/>
      <x:c r="R251" s="13"/>
      <x:c r="S251" s="13" t="str">
        <x:f>IF(AND(D251="Можно заказывать",R251="Да",O251&gt;0),"GO","STOP")</x:f>
        <x:v>STOP</x:v>
      </x:c>
      <x:c r="T251" s="13"/>
    </x:row>
    <x:row r="252">
      <x:c r="A252" s="13"/>
      <x:c r="B252" s="13"/>
      <x:c r="C252" s="13"/>
      <x:c r="D252" s="13"/>
      <x:c r="E252" s="13"/>
      <x:c r="F252" s="13"/>
      <x:c r="G252" s="13"/>
      <x:c r="H252" s="22"/>
      <x:c r="I252" s="22"/>
      <x:c r="J252" s="22" t="str">
        <x:f>IF(OR(H252="",I252=""),"",H252*I252)</x:f>
      </x:c>
      <x:c r="K252" s="22"/>
      <x:c r="L252" s="22"/>
      <x:c r="M252" s="22" t="str">
        <x:f>IF(J252="","",J252+IF(K252="",0,K252)+IF(L252="",0,L252))</x:f>
      </x:c>
      <x:c r="N252" s="22"/>
      <x:c r="O252" s="22" t="str">
        <x:f>IF(OR(N252="",M252=""),"",N252-M252)</x:f>
      </x:c>
      <x:c r="P252" s="24" t="str">
        <x:f>IFERROR(O252/N252,"")</x:f>
      </x:c>
      <x:c r="Q252" s="13"/>
      <x:c r="R252" s="13"/>
      <x:c r="S252" s="13" t="str">
        <x:f>IF(AND(D252="Можно заказывать",R252="Да",O252&gt;0),"GO","STOP")</x:f>
        <x:v>STOP</x:v>
      </x:c>
      <x:c r="T252" s="13"/>
    </x:row>
    <x:row r="253">
      <x:c r="A253" s="13"/>
      <x:c r="B253" s="13"/>
      <x:c r="C253" s="13"/>
      <x:c r="D253" s="13"/>
      <x:c r="E253" s="13"/>
      <x:c r="F253" s="13"/>
      <x:c r="G253" s="13"/>
      <x:c r="H253" s="22"/>
      <x:c r="I253" s="22"/>
      <x:c r="J253" s="22" t="str">
        <x:f>IF(OR(H253="",I253=""),"",H253*I253)</x:f>
      </x:c>
      <x:c r="K253" s="22"/>
      <x:c r="L253" s="22"/>
      <x:c r="M253" s="22" t="str">
        <x:f>IF(J253="","",J253+IF(K253="",0,K253)+IF(L253="",0,L253))</x:f>
      </x:c>
      <x:c r="N253" s="22"/>
      <x:c r="O253" s="22" t="str">
        <x:f>IF(OR(N253="",M253=""),"",N253-M253)</x:f>
      </x:c>
      <x:c r="P253" s="24" t="str">
        <x:f>IFERROR(O253/N253,"")</x:f>
      </x:c>
      <x:c r="Q253" s="13"/>
      <x:c r="R253" s="13"/>
      <x:c r="S253" s="13" t="str">
        <x:f>IF(AND(D253="Можно заказывать",R253="Да",O253&gt;0),"GO","STOP")</x:f>
        <x:v>STOP</x:v>
      </x:c>
      <x:c r="T253" s="13"/>
    </x:row>
    <x:row r="254">
      <x:c r="A254" s="13"/>
      <x:c r="B254" s="13"/>
      <x:c r="C254" s="13"/>
      <x:c r="D254" s="13"/>
      <x:c r="E254" s="13"/>
      <x:c r="F254" s="13"/>
      <x:c r="G254" s="13"/>
      <x:c r="H254" s="22"/>
      <x:c r="I254" s="22"/>
      <x:c r="J254" s="22" t="str">
        <x:f>IF(OR(H254="",I254=""),"",H254*I254)</x:f>
      </x:c>
      <x:c r="K254" s="22"/>
      <x:c r="L254" s="22"/>
      <x:c r="M254" s="22" t="str">
        <x:f>IF(J254="","",J254+IF(K254="",0,K254)+IF(L254="",0,L254))</x:f>
      </x:c>
      <x:c r="N254" s="22"/>
      <x:c r="O254" s="22" t="str">
        <x:f>IF(OR(N254="",M254=""),"",N254-M254)</x:f>
      </x:c>
      <x:c r="P254" s="24" t="str">
        <x:f>IFERROR(O254/N254,"")</x:f>
      </x:c>
      <x:c r="Q254" s="13"/>
      <x:c r="R254" s="13"/>
      <x:c r="S254" s="13" t="str">
        <x:f>IF(AND(D254="Можно заказывать",R254="Да",O254&gt;0),"GO","STOP")</x:f>
        <x:v>STOP</x:v>
      </x:c>
      <x:c r="T254" s="13"/>
    </x:row>
    <x:row r="255">
      <x:c r="A255" s="13"/>
      <x:c r="B255" s="13"/>
      <x:c r="C255" s="13"/>
      <x:c r="D255" s="13"/>
      <x:c r="E255" s="13"/>
      <x:c r="F255" s="13"/>
      <x:c r="G255" s="13"/>
      <x:c r="H255" s="22"/>
      <x:c r="I255" s="22"/>
      <x:c r="J255" s="22" t="str">
        <x:f>IF(OR(H255="",I255=""),"",H255*I255)</x:f>
      </x:c>
      <x:c r="K255" s="22"/>
      <x:c r="L255" s="22"/>
      <x:c r="M255" s="22" t="str">
        <x:f>IF(J255="","",J255+IF(K255="",0,K255)+IF(L255="",0,L255))</x:f>
      </x:c>
      <x:c r="N255" s="22"/>
      <x:c r="O255" s="22" t="str">
        <x:f>IF(OR(N255="",M255=""),"",N255-M255)</x:f>
      </x:c>
      <x:c r="P255" s="24" t="str">
        <x:f>IFERROR(O255/N255,"")</x:f>
      </x:c>
      <x:c r="Q255" s="13"/>
      <x:c r="R255" s="13"/>
      <x:c r="S255" s="13" t="str">
        <x:f>IF(AND(D255="Можно заказывать",R255="Да",O255&gt;0),"GO","STOP")</x:f>
        <x:v>STOP</x:v>
      </x:c>
      <x:c r="T255" s="13"/>
    </x:row>
    <x:row r="256">
      <x:c r="A256" s="13"/>
      <x:c r="B256" s="13"/>
      <x:c r="C256" s="13"/>
      <x:c r="D256" s="13"/>
      <x:c r="E256" s="13"/>
      <x:c r="F256" s="13"/>
      <x:c r="G256" s="13"/>
      <x:c r="H256" s="22"/>
      <x:c r="I256" s="22"/>
      <x:c r="J256" s="22" t="str">
        <x:f>IF(OR(H256="",I256=""),"",H256*I256)</x:f>
      </x:c>
      <x:c r="K256" s="22"/>
      <x:c r="L256" s="22"/>
      <x:c r="M256" s="22" t="str">
        <x:f>IF(J256="","",J256+IF(K256="",0,K256)+IF(L256="",0,L256))</x:f>
      </x:c>
      <x:c r="N256" s="22"/>
      <x:c r="O256" s="22" t="str">
        <x:f>IF(OR(N256="",M256=""),"",N256-M256)</x:f>
      </x:c>
      <x:c r="P256" s="24" t="str">
        <x:f>IFERROR(O256/N256,"")</x:f>
      </x:c>
      <x:c r="Q256" s="13"/>
      <x:c r="R256" s="13"/>
      <x:c r="S256" s="13" t="str">
        <x:f>IF(AND(D256="Можно заказывать",R256="Да",O256&gt;0),"GO","STOP")</x:f>
        <x:v>STOP</x:v>
      </x:c>
      <x:c r="T256" s="13"/>
    </x:row>
    <x:row r="257">
      <x:c r="A257" s="13"/>
      <x:c r="B257" s="13"/>
      <x:c r="C257" s="13"/>
      <x:c r="D257" s="13"/>
      <x:c r="E257" s="13"/>
      <x:c r="F257" s="13"/>
      <x:c r="G257" s="13"/>
      <x:c r="H257" s="22"/>
      <x:c r="I257" s="22"/>
      <x:c r="J257" s="22" t="str">
        <x:f>IF(OR(H257="",I257=""),"",H257*I257)</x:f>
      </x:c>
      <x:c r="K257" s="22"/>
      <x:c r="L257" s="22"/>
      <x:c r="M257" s="22" t="str">
        <x:f>IF(J257="","",J257+IF(K257="",0,K257)+IF(L257="",0,L257))</x:f>
      </x:c>
      <x:c r="N257" s="22"/>
      <x:c r="O257" s="22" t="str">
        <x:f>IF(OR(N257="",M257=""),"",N257-M257)</x:f>
      </x:c>
      <x:c r="P257" s="24" t="str">
        <x:f>IFERROR(O257/N257,"")</x:f>
      </x:c>
      <x:c r="Q257" s="13"/>
      <x:c r="R257" s="13"/>
      <x:c r="S257" s="13" t="str">
        <x:f>IF(AND(D257="Можно заказывать",R257="Да",O257&gt;0),"GO","STOP")</x:f>
        <x:v>STOP</x:v>
      </x:c>
      <x:c r="T257" s="13"/>
    </x:row>
    <x:row r="258">
      <x:c r="A258" s="13"/>
      <x:c r="B258" s="13"/>
      <x:c r="C258" s="13"/>
      <x:c r="D258" s="13"/>
      <x:c r="E258" s="13"/>
      <x:c r="F258" s="13"/>
      <x:c r="G258" s="13"/>
      <x:c r="H258" s="22"/>
      <x:c r="I258" s="22"/>
      <x:c r="J258" s="22" t="str">
        <x:f>IF(OR(H258="",I258=""),"",H258*I258)</x:f>
      </x:c>
      <x:c r="K258" s="22"/>
      <x:c r="L258" s="22"/>
      <x:c r="M258" s="22" t="str">
        <x:f>IF(J258="","",J258+IF(K258="",0,K258)+IF(L258="",0,L258))</x:f>
      </x:c>
      <x:c r="N258" s="22"/>
      <x:c r="O258" s="22" t="str">
        <x:f>IF(OR(N258="",M258=""),"",N258-M258)</x:f>
      </x:c>
      <x:c r="P258" s="24" t="str">
        <x:f>IFERROR(O258/N258,"")</x:f>
      </x:c>
      <x:c r="Q258" s="13"/>
      <x:c r="R258" s="13"/>
      <x:c r="S258" s="13" t="str">
        <x:f>IF(AND(D258="Можно заказывать",R258="Да",O258&gt;0),"GO","STOP")</x:f>
        <x:v>STOP</x:v>
      </x:c>
      <x:c r="T258" s="13"/>
    </x:row>
    <x:row r="259">
      <x:c r="A259" s="13"/>
      <x:c r="B259" s="13"/>
      <x:c r="C259" s="13"/>
      <x:c r="D259" s="13"/>
      <x:c r="E259" s="13"/>
      <x:c r="F259" s="13"/>
      <x:c r="G259" s="13"/>
      <x:c r="H259" s="22"/>
      <x:c r="I259" s="22"/>
      <x:c r="J259" s="22" t="str">
        <x:f>IF(OR(H259="",I259=""),"",H259*I259)</x:f>
      </x:c>
      <x:c r="K259" s="22"/>
      <x:c r="L259" s="22"/>
      <x:c r="M259" s="22" t="str">
        <x:f>IF(J259="","",J259+IF(K259="",0,K259)+IF(L259="",0,L259))</x:f>
      </x:c>
      <x:c r="N259" s="22"/>
      <x:c r="O259" s="22" t="str">
        <x:f>IF(OR(N259="",M259=""),"",N259-M259)</x:f>
      </x:c>
      <x:c r="P259" s="24" t="str">
        <x:f>IFERROR(O259/N259,"")</x:f>
      </x:c>
      <x:c r="Q259" s="13"/>
      <x:c r="R259" s="13"/>
      <x:c r="S259" s="13" t="str">
        <x:f>IF(AND(D259="Можно заказывать",R259="Да",O259&gt;0),"GO","STOP")</x:f>
        <x:v>STOP</x:v>
      </x:c>
      <x:c r="T259" s="13"/>
    </x:row>
    <x:row r="260">
      <x:c r="A260" s="13"/>
      <x:c r="B260" s="13"/>
      <x:c r="C260" s="13"/>
      <x:c r="D260" s="13"/>
      <x:c r="E260" s="13"/>
      <x:c r="F260" s="13"/>
      <x:c r="G260" s="13"/>
      <x:c r="H260" s="22"/>
      <x:c r="I260" s="22"/>
      <x:c r="J260" s="22" t="str">
        <x:f>IF(OR(H260="",I260=""),"",H260*I260)</x:f>
      </x:c>
      <x:c r="K260" s="22"/>
      <x:c r="L260" s="22"/>
      <x:c r="M260" s="22" t="str">
        <x:f>IF(J260="","",J260+IF(K260="",0,K260)+IF(L260="",0,L260))</x:f>
      </x:c>
      <x:c r="N260" s="22"/>
      <x:c r="O260" s="22" t="str">
        <x:f>IF(OR(N260="",M260=""),"",N260-M260)</x:f>
      </x:c>
      <x:c r="P260" s="24" t="str">
        <x:f>IFERROR(O260/N260,"")</x:f>
      </x:c>
      <x:c r="Q260" s="13"/>
      <x:c r="R260" s="13"/>
      <x:c r="S260" s="13" t="str">
        <x:f>IF(AND(D260="Можно заказывать",R260="Да",O260&gt;0),"GO","STOP")</x:f>
        <x:v>STOP</x:v>
      </x:c>
      <x:c r="T260" s="13"/>
    </x:row>
    <x:row r="261">
      <x:c r="A261" s="13"/>
      <x:c r="B261" s="13"/>
      <x:c r="C261" s="13"/>
      <x:c r="D261" s="13"/>
      <x:c r="E261" s="13"/>
      <x:c r="F261" s="13"/>
      <x:c r="G261" s="13"/>
      <x:c r="H261" s="22"/>
      <x:c r="I261" s="22"/>
      <x:c r="J261" s="22" t="str">
        <x:f>IF(OR(H261="",I261=""),"",H261*I261)</x:f>
      </x:c>
      <x:c r="K261" s="22"/>
      <x:c r="L261" s="22"/>
      <x:c r="M261" s="22" t="str">
        <x:f>IF(J261="","",J261+IF(K261="",0,K261)+IF(L261="",0,L261))</x:f>
      </x:c>
      <x:c r="N261" s="22"/>
      <x:c r="O261" s="22" t="str">
        <x:f>IF(OR(N261="",M261=""),"",N261-M261)</x:f>
      </x:c>
      <x:c r="P261" s="24" t="str">
        <x:f>IFERROR(O261/N261,"")</x:f>
      </x:c>
      <x:c r="Q261" s="13"/>
      <x:c r="R261" s="13"/>
      <x:c r="S261" s="13" t="str">
        <x:f>IF(AND(D261="Можно заказывать",R261="Да",O261&gt;0),"GO","STOP")</x:f>
        <x:v>STOP</x:v>
      </x:c>
      <x:c r="T261" s="13"/>
    </x:row>
    <x:row r="262">
      <x:c r="A262" s="13"/>
      <x:c r="B262" s="13"/>
      <x:c r="C262" s="13"/>
      <x:c r="D262" s="13"/>
      <x:c r="E262" s="13"/>
      <x:c r="F262" s="13"/>
      <x:c r="G262" s="13"/>
      <x:c r="H262" s="22"/>
      <x:c r="I262" s="22"/>
      <x:c r="J262" s="22" t="str">
        <x:f>IF(OR(H262="",I262=""),"",H262*I262)</x:f>
      </x:c>
      <x:c r="K262" s="22"/>
      <x:c r="L262" s="22"/>
      <x:c r="M262" s="22" t="str">
        <x:f>IF(J262="","",J262+IF(K262="",0,K262)+IF(L262="",0,L262))</x:f>
      </x:c>
      <x:c r="N262" s="22"/>
      <x:c r="O262" s="22" t="str">
        <x:f>IF(OR(N262="",M262=""),"",N262-M262)</x:f>
      </x:c>
      <x:c r="P262" s="24" t="str">
        <x:f>IFERROR(O262/N262,"")</x:f>
      </x:c>
      <x:c r="Q262" s="13"/>
      <x:c r="R262" s="13"/>
      <x:c r="S262" s="13" t="str">
        <x:f>IF(AND(D262="Можно заказывать",R262="Да",O262&gt;0),"GO","STOP")</x:f>
        <x:v>STOP</x:v>
      </x:c>
      <x:c r="T262" s="13"/>
    </x:row>
    <x:row r="263">
      <x:c r="A263" s="13"/>
      <x:c r="B263" s="13"/>
      <x:c r="C263" s="13"/>
      <x:c r="D263" s="13"/>
      <x:c r="E263" s="13"/>
      <x:c r="F263" s="13"/>
      <x:c r="G263" s="13"/>
      <x:c r="H263" s="22"/>
      <x:c r="I263" s="22"/>
      <x:c r="J263" s="22" t="str">
        <x:f>IF(OR(H263="",I263=""),"",H263*I263)</x:f>
      </x:c>
      <x:c r="K263" s="22"/>
      <x:c r="L263" s="22"/>
      <x:c r="M263" s="22" t="str">
        <x:f>IF(J263="","",J263+IF(K263="",0,K263)+IF(L263="",0,L263))</x:f>
      </x:c>
      <x:c r="N263" s="22"/>
      <x:c r="O263" s="22" t="str">
        <x:f>IF(OR(N263="",M263=""),"",N263-M263)</x:f>
      </x:c>
      <x:c r="P263" s="24" t="str">
        <x:f>IFERROR(O263/N263,"")</x:f>
      </x:c>
      <x:c r="Q263" s="13"/>
      <x:c r="R263" s="13"/>
      <x:c r="S263" s="13" t="str">
        <x:f>IF(AND(D263="Можно заказывать",R263="Да",O263&gt;0),"GO","STOP")</x:f>
        <x:v>STOP</x:v>
      </x:c>
      <x:c r="T263" s="13"/>
    </x:row>
    <x:row r="264">
      <x:c r="A264" s="13"/>
      <x:c r="B264" s="13"/>
      <x:c r="C264" s="13"/>
      <x:c r="D264" s="13"/>
      <x:c r="E264" s="13"/>
      <x:c r="F264" s="13"/>
      <x:c r="G264" s="13"/>
      <x:c r="H264" s="22"/>
      <x:c r="I264" s="22"/>
      <x:c r="J264" s="22" t="str">
        <x:f>IF(OR(H264="",I264=""),"",H264*I264)</x:f>
      </x:c>
      <x:c r="K264" s="22"/>
      <x:c r="L264" s="22"/>
      <x:c r="M264" s="22" t="str">
        <x:f>IF(J264="","",J264+IF(K264="",0,K264)+IF(L264="",0,L264))</x:f>
      </x:c>
      <x:c r="N264" s="22"/>
      <x:c r="O264" s="22" t="str">
        <x:f>IF(OR(N264="",M264=""),"",N264-M264)</x:f>
      </x:c>
      <x:c r="P264" s="24" t="str">
        <x:f>IFERROR(O264/N264,"")</x:f>
      </x:c>
      <x:c r="Q264" s="13"/>
      <x:c r="R264" s="13"/>
      <x:c r="S264" s="13" t="str">
        <x:f>IF(AND(D264="Можно заказывать",R264="Да",O264&gt;0),"GO","STOP")</x:f>
        <x:v>STOP</x:v>
      </x:c>
      <x:c r="T264" s="13"/>
    </x:row>
    <x:row r="265">
      <x:c r="A265" s="13"/>
      <x:c r="B265" s="13"/>
      <x:c r="C265" s="13"/>
      <x:c r="D265" s="13"/>
      <x:c r="E265" s="13"/>
      <x:c r="F265" s="13"/>
      <x:c r="G265" s="13"/>
      <x:c r="H265" s="22"/>
      <x:c r="I265" s="22"/>
      <x:c r="J265" s="22" t="str">
        <x:f>IF(OR(H265="",I265=""),"",H265*I265)</x:f>
      </x:c>
      <x:c r="K265" s="22"/>
      <x:c r="L265" s="22"/>
      <x:c r="M265" s="22" t="str">
        <x:f>IF(J265="","",J265+IF(K265="",0,K265)+IF(L265="",0,L265))</x:f>
      </x:c>
      <x:c r="N265" s="22"/>
      <x:c r="O265" s="22" t="str">
        <x:f>IF(OR(N265="",M265=""),"",N265-M265)</x:f>
      </x:c>
      <x:c r="P265" s="24" t="str">
        <x:f>IFERROR(O265/N265,"")</x:f>
      </x:c>
      <x:c r="Q265" s="13"/>
      <x:c r="R265" s="13"/>
      <x:c r="S265" s="13" t="str">
        <x:f>IF(AND(D265="Можно заказывать",R265="Да",O265&gt;0),"GO","STOP")</x:f>
        <x:v>STOP</x:v>
      </x:c>
      <x:c r="T265" s="13"/>
    </x:row>
    <x:row r="266">
      <x:c r="A266" s="13"/>
      <x:c r="B266" s="13"/>
      <x:c r="C266" s="13"/>
      <x:c r="D266" s="13"/>
      <x:c r="E266" s="13"/>
      <x:c r="F266" s="13"/>
      <x:c r="G266" s="13"/>
      <x:c r="H266" s="22"/>
      <x:c r="I266" s="22"/>
      <x:c r="J266" s="22" t="str">
        <x:f>IF(OR(H266="",I266=""),"",H266*I266)</x:f>
      </x:c>
      <x:c r="K266" s="22"/>
      <x:c r="L266" s="22"/>
      <x:c r="M266" s="22" t="str">
        <x:f>IF(J266="","",J266+IF(K266="",0,K266)+IF(L266="",0,L266))</x:f>
      </x:c>
      <x:c r="N266" s="22"/>
      <x:c r="O266" s="22" t="str">
        <x:f>IF(OR(N266="",M266=""),"",N266-M266)</x:f>
      </x:c>
      <x:c r="P266" s="24" t="str">
        <x:f>IFERROR(O266/N266,"")</x:f>
      </x:c>
      <x:c r="Q266" s="13"/>
      <x:c r="R266" s="13"/>
      <x:c r="S266" s="13" t="str">
        <x:f>IF(AND(D266="Можно заказывать",R266="Да",O266&gt;0),"GO","STOP")</x:f>
        <x:v>STOP</x:v>
      </x:c>
      <x:c r="T266" s="13"/>
    </x:row>
    <x:row r="267">
      <x:c r="A267" s="13"/>
      <x:c r="B267" s="13"/>
      <x:c r="C267" s="13"/>
      <x:c r="D267" s="13"/>
      <x:c r="E267" s="13"/>
      <x:c r="F267" s="13"/>
      <x:c r="G267" s="13"/>
      <x:c r="H267" s="22"/>
      <x:c r="I267" s="22"/>
      <x:c r="J267" s="22" t="str">
        <x:f>IF(OR(H267="",I267=""),"",H267*I267)</x:f>
      </x:c>
      <x:c r="K267" s="22"/>
      <x:c r="L267" s="22"/>
      <x:c r="M267" s="22" t="str">
        <x:f>IF(J267="","",J267+IF(K267="",0,K267)+IF(L267="",0,L267))</x:f>
      </x:c>
      <x:c r="N267" s="22"/>
      <x:c r="O267" s="22" t="str">
        <x:f>IF(OR(N267="",M267=""),"",N267-M267)</x:f>
      </x:c>
      <x:c r="P267" s="24" t="str">
        <x:f>IFERROR(O267/N267,"")</x:f>
      </x:c>
      <x:c r="Q267" s="13"/>
      <x:c r="R267" s="13"/>
      <x:c r="S267" s="13" t="str">
        <x:f>IF(AND(D267="Можно заказывать",R267="Да",O267&gt;0),"GO","STOP")</x:f>
        <x:v>STOP</x:v>
      </x:c>
      <x:c r="T267" s="13"/>
    </x:row>
    <x:row r="268">
      <x:c r="A268" s="13"/>
      <x:c r="B268" s="13"/>
      <x:c r="C268" s="13"/>
      <x:c r="D268" s="13"/>
      <x:c r="E268" s="13"/>
      <x:c r="F268" s="13"/>
      <x:c r="G268" s="13"/>
      <x:c r="H268" s="22"/>
      <x:c r="I268" s="22"/>
      <x:c r="J268" s="22" t="str">
        <x:f>IF(OR(H268="",I268=""),"",H268*I268)</x:f>
      </x:c>
      <x:c r="K268" s="22"/>
      <x:c r="L268" s="22"/>
      <x:c r="M268" s="22" t="str">
        <x:f>IF(J268="","",J268+IF(K268="",0,K268)+IF(L268="",0,L268))</x:f>
      </x:c>
      <x:c r="N268" s="22"/>
      <x:c r="O268" s="22" t="str">
        <x:f>IF(OR(N268="",M268=""),"",N268-M268)</x:f>
      </x:c>
      <x:c r="P268" s="24" t="str">
        <x:f>IFERROR(O268/N268,"")</x:f>
      </x:c>
      <x:c r="Q268" s="13"/>
      <x:c r="R268" s="13"/>
      <x:c r="S268" s="13" t="str">
        <x:f>IF(AND(D268="Можно заказывать",R268="Да",O268&gt;0),"GO","STOP")</x:f>
        <x:v>STOP</x:v>
      </x:c>
      <x:c r="T268" s="13"/>
    </x:row>
    <x:row r="269">
      <x:c r="A269" s="13"/>
      <x:c r="B269" s="13"/>
      <x:c r="C269" s="13"/>
      <x:c r="D269" s="13"/>
      <x:c r="E269" s="13"/>
      <x:c r="F269" s="13"/>
      <x:c r="G269" s="13"/>
      <x:c r="H269" s="22"/>
      <x:c r="I269" s="22"/>
      <x:c r="J269" s="22" t="str">
        <x:f>IF(OR(H269="",I269=""),"",H269*I269)</x:f>
      </x:c>
      <x:c r="K269" s="22"/>
      <x:c r="L269" s="22"/>
      <x:c r="M269" s="22" t="str">
        <x:f>IF(J269="","",J269+IF(K269="",0,K269)+IF(L269="",0,L269))</x:f>
      </x:c>
      <x:c r="N269" s="22"/>
      <x:c r="O269" s="22" t="str">
        <x:f>IF(OR(N269="",M269=""),"",N269-M269)</x:f>
      </x:c>
      <x:c r="P269" s="24" t="str">
        <x:f>IFERROR(O269/N269,"")</x:f>
      </x:c>
      <x:c r="Q269" s="13"/>
      <x:c r="R269" s="13"/>
      <x:c r="S269" s="13" t="str">
        <x:f>IF(AND(D269="Можно заказывать",R269="Да",O269&gt;0),"GO","STOP")</x:f>
        <x:v>STOP</x:v>
      </x:c>
      <x:c r="T269" s="13"/>
    </x:row>
    <x:row r="270">
      <x:c r="A270" s="13"/>
      <x:c r="B270" s="13"/>
      <x:c r="C270" s="13"/>
      <x:c r="D270" s="13"/>
      <x:c r="E270" s="13"/>
      <x:c r="F270" s="13"/>
      <x:c r="G270" s="13"/>
      <x:c r="H270" s="22"/>
      <x:c r="I270" s="22"/>
      <x:c r="J270" s="22" t="str">
        <x:f>IF(OR(H270="",I270=""),"",H270*I270)</x:f>
      </x:c>
      <x:c r="K270" s="22"/>
      <x:c r="L270" s="22"/>
      <x:c r="M270" s="22" t="str">
        <x:f>IF(J270="","",J270+IF(K270="",0,K270)+IF(L270="",0,L270))</x:f>
      </x:c>
      <x:c r="N270" s="22"/>
      <x:c r="O270" s="22" t="str">
        <x:f>IF(OR(N270="",M270=""),"",N270-M270)</x:f>
      </x:c>
      <x:c r="P270" s="24" t="str">
        <x:f>IFERROR(O270/N270,"")</x:f>
      </x:c>
      <x:c r="Q270" s="13"/>
      <x:c r="R270" s="13"/>
      <x:c r="S270" s="13" t="str">
        <x:f>IF(AND(D270="Можно заказывать",R270="Да",O270&gt;0),"GO","STOP")</x:f>
        <x:v>STOP</x:v>
      </x:c>
      <x:c r="T270" s="13"/>
    </x:row>
    <x:row r="271">
      <x:c r="A271" s="13"/>
      <x:c r="B271" s="13"/>
      <x:c r="C271" s="13"/>
      <x:c r="D271" s="13"/>
      <x:c r="E271" s="13"/>
      <x:c r="F271" s="13"/>
      <x:c r="G271" s="13"/>
      <x:c r="H271" s="22"/>
      <x:c r="I271" s="22"/>
      <x:c r="J271" s="22" t="str">
        <x:f>IF(OR(H271="",I271=""),"",H271*I271)</x:f>
      </x:c>
      <x:c r="K271" s="22"/>
      <x:c r="L271" s="22"/>
      <x:c r="M271" s="22" t="str">
        <x:f>IF(J271="","",J271+IF(K271="",0,K271)+IF(L271="",0,L271))</x:f>
      </x:c>
      <x:c r="N271" s="22"/>
      <x:c r="O271" s="22" t="str">
        <x:f>IF(OR(N271="",M271=""),"",N271-M271)</x:f>
      </x:c>
      <x:c r="P271" s="24" t="str">
        <x:f>IFERROR(O271/N271,"")</x:f>
      </x:c>
      <x:c r="Q271" s="13"/>
      <x:c r="R271" s="13"/>
      <x:c r="S271" s="13" t="str">
        <x:f>IF(AND(D271="Можно заказывать",R271="Да",O271&gt;0),"GO","STOP")</x:f>
        <x:v>STOP</x:v>
      </x:c>
      <x:c r="T271" s="13"/>
    </x:row>
    <x:row r="272">
      <x:c r="A272" s="13"/>
      <x:c r="B272" s="13"/>
      <x:c r="C272" s="13"/>
      <x:c r="D272" s="13"/>
      <x:c r="E272" s="13"/>
      <x:c r="F272" s="13"/>
      <x:c r="G272" s="13"/>
      <x:c r="H272" s="22"/>
      <x:c r="I272" s="22"/>
      <x:c r="J272" s="22" t="str">
        <x:f>IF(OR(H272="",I272=""),"",H272*I272)</x:f>
      </x:c>
      <x:c r="K272" s="22"/>
      <x:c r="L272" s="22"/>
      <x:c r="M272" s="22" t="str">
        <x:f>IF(J272="","",J272+IF(K272="",0,K272)+IF(L272="",0,L272))</x:f>
      </x:c>
      <x:c r="N272" s="22"/>
      <x:c r="O272" s="22" t="str">
        <x:f>IF(OR(N272="",M272=""),"",N272-M272)</x:f>
      </x:c>
      <x:c r="P272" s="24" t="str">
        <x:f>IFERROR(O272/N272,"")</x:f>
      </x:c>
      <x:c r="Q272" s="13"/>
      <x:c r="R272" s="13"/>
      <x:c r="S272" s="13" t="str">
        <x:f>IF(AND(D272="Можно заказывать",R272="Да",O272&gt;0),"GO","STOP")</x:f>
        <x:v>STOP</x:v>
      </x:c>
      <x:c r="T272" s="13"/>
    </x:row>
    <x:row r="273">
      <x:c r="A273" s="13"/>
      <x:c r="B273" s="13"/>
      <x:c r="C273" s="13"/>
      <x:c r="D273" s="13"/>
      <x:c r="E273" s="13"/>
      <x:c r="F273" s="13"/>
      <x:c r="G273" s="13"/>
      <x:c r="H273" s="22"/>
      <x:c r="I273" s="22"/>
      <x:c r="J273" s="22" t="str">
        <x:f>IF(OR(H273="",I273=""),"",H273*I273)</x:f>
      </x:c>
      <x:c r="K273" s="22"/>
      <x:c r="L273" s="22"/>
      <x:c r="M273" s="22" t="str">
        <x:f>IF(J273="","",J273+IF(K273="",0,K273)+IF(L273="",0,L273))</x:f>
      </x:c>
      <x:c r="N273" s="22"/>
      <x:c r="O273" s="22" t="str">
        <x:f>IF(OR(N273="",M273=""),"",N273-M273)</x:f>
      </x:c>
      <x:c r="P273" s="24" t="str">
        <x:f>IFERROR(O273/N273,"")</x:f>
      </x:c>
      <x:c r="Q273" s="13"/>
      <x:c r="R273" s="13"/>
      <x:c r="S273" s="13" t="str">
        <x:f>IF(AND(D273="Можно заказывать",R273="Да",O273&gt;0),"GO","STOP")</x:f>
        <x:v>STOP</x:v>
      </x:c>
      <x:c r="T273" s="13"/>
    </x:row>
    <x:row r="274">
      <x:c r="A274" s="13"/>
      <x:c r="B274" s="13"/>
      <x:c r="C274" s="13"/>
      <x:c r="D274" s="13"/>
      <x:c r="E274" s="13"/>
      <x:c r="F274" s="13"/>
      <x:c r="G274" s="13"/>
      <x:c r="H274" s="22"/>
      <x:c r="I274" s="22"/>
      <x:c r="J274" s="22" t="str">
        <x:f>IF(OR(H274="",I274=""),"",H274*I274)</x:f>
      </x:c>
      <x:c r="K274" s="22"/>
      <x:c r="L274" s="22"/>
      <x:c r="M274" s="22" t="str">
        <x:f>IF(J274="","",J274+IF(K274="",0,K274)+IF(L274="",0,L274))</x:f>
      </x:c>
      <x:c r="N274" s="22"/>
      <x:c r="O274" s="22" t="str">
        <x:f>IF(OR(N274="",M274=""),"",N274-M274)</x:f>
      </x:c>
      <x:c r="P274" s="24" t="str">
        <x:f>IFERROR(O274/N274,"")</x:f>
      </x:c>
      <x:c r="Q274" s="13"/>
      <x:c r="R274" s="13"/>
      <x:c r="S274" s="13" t="str">
        <x:f>IF(AND(D274="Можно заказывать",R274="Да",O274&gt;0),"GO","STOP")</x:f>
        <x:v>STOP</x:v>
      </x:c>
      <x:c r="T274" s="13"/>
    </x:row>
    <x:row r="275">
      <x:c r="A275" s="13"/>
      <x:c r="B275" s="13"/>
      <x:c r="C275" s="13"/>
      <x:c r="D275" s="13"/>
      <x:c r="E275" s="13"/>
      <x:c r="F275" s="13"/>
      <x:c r="G275" s="13"/>
      <x:c r="H275" s="22"/>
      <x:c r="I275" s="22"/>
      <x:c r="J275" s="22" t="str">
        <x:f>IF(OR(H275="",I275=""),"",H275*I275)</x:f>
      </x:c>
      <x:c r="K275" s="22"/>
      <x:c r="L275" s="22"/>
      <x:c r="M275" s="22" t="str">
        <x:f>IF(J275="","",J275+IF(K275="",0,K275)+IF(L275="",0,L275))</x:f>
      </x:c>
      <x:c r="N275" s="22"/>
      <x:c r="O275" s="22" t="str">
        <x:f>IF(OR(N275="",M275=""),"",N275-M275)</x:f>
      </x:c>
      <x:c r="P275" s="24" t="str">
        <x:f>IFERROR(O275/N275,"")</x:f>
      </x:c>
      <x:c r="Q275" s="13"/>
      <x:c r="R275" s="13"/>
      <x:c r="S275" s="13" t="str">
        <x:f>IF(AND(D275="Можно заказывать",R275="Да",O275&gt;0),"GO","STOP")</x:f>
        <x:v>STOP</x:v>
      </x:c>
      <x:c r="T275" s="13"/>
    </x:row>
    <x:row r="276">
      <x:c r="A276" s="13"/>
      <x:c r="B276" s="13"/>
      <x:c r="C276" s="13"/>
      <x:c r="D276" s="13"/>
      <x:c r="E276" s="13"/>
      <x:c r="F276" s="13"/>
      <x:c r="G276" s="13"/>
      <x:c r="H276" s="22"/>
      <x:c r="I276" s="22"/>
      <x:c r="J276" s="22" t="str">
        <x:f>IF(OR(H276="",I276=""),"",H276*I276)</x:f>
      </x:c>
      <x:c r="K276" s="22"/>
      <x:c r="L276" s="22"/>
      <x:c r="M276" s="22" t="str">
        <x:f>IF(J276="","",J276+IF(K276="",0,K276)+IF(L276="",0,L276))</x:f>
      </x:c>
      <x:c r="N276" s="22"/>
      <x:c r="O276" s="22" t="str">
        <x:f>IF(OR(N276="",M276=""),"",N276-M276)</x:f>
      </x:c>
      <x:c r="P276" s="24" t="str">
        <x:f>IFERROR(O276/N276,"")</x:f>
      </x:c>
      <x:c r="Q276" s="13"/>
      <x:c r="R276" s="13"/>
      <x:c r="S276" s="13" t="str">
        <x:f>IF(AND(D276="Можно заказывать",R276="Да",O276&gt;0),"GO","STOP")</x:f>
        <x:v>STOP</x:v>
      </x:c>
      <x:c r="T276" s="13"/>
    </x:row>
    <x:row r="277">
      <x:c r="A277" s="13"/>
      <x:c r="B277" s="13"/>
      <x:c r="C277" s="13"/>
      <x:c r="D277" s="13"/>
      <x:c r="E277" s="13"/>
      <x:c r="F277" s="13"/>
      <x:c r="G277" s="13"/>
      <x:c r="H277" s="22"/>
      <x:c r="I277" s="22"/>
      <x:c r="J277" s="22" t="str">
        <x:f>IF(OR(H277="",I277=""),"",H277*I277)</x:f>
      </x:c>
      <x:c r="K277" s="22"/>
      <x:c r="L277" s="22"/>
      <x:c r="M277" s="22" t="str">
        <x:f>IF(J277="","",J277+IF(K277="",0,K277)+IF(L277="",0,L277))</x:f>
      </x:c>
      <x:c r="N277" s="22"/>
      <x:c r="O277" s="22" t="str">
        <x:f>IF(OR(N277="",M277=""),"",N277-M277)</x:f>
      </x:c>
      <x:c r="P277" s="24" t="str">
        <x:f>IFERROR(O277/N277,"")</x:f>
      </x:c>
      <x:c r="Q277" s="13"/>
      <x:c r="R277" s="13"/>
      <x:c r="S277" s="13" t="str">
        <x:f>IF(AND(D277="Можно заказывать",R277="Да",O277&gt;0),"GO","STOP")</x:f>
        <x:v>STOP</x:v>
      </x:c>
      <x:c r="T277" s="13"/>
    </x:row>
    <x:row r="278">
      <x:c r="A278" s="13"/>
      <x:c r="B278" s="13"/>
      <x:c r="C278" s="13"/>
      <x:c r="D278" s="13"/>
      <x:c r="E278" s="13"/>
      <x:c r="F278" s="13"/>
      <x:c r="G278" s="13"/>
      <x:c r="H278" s="22"/>
      <x:c r="I278" s="22"/>
      <x:c r="J278" s="22" t="str">
        <x:f>IF(OR(H278="",I278=""),"",H278*I278)</x:f>
      </x:c>
      <x:c r="K278" s="22"/>
      <x:c r="L278" s="22"/>
      <x:c r="M278" s="22" t="str">
        <x:f>IF(J278="","",J278+IF(K278="",0,K278)+IF(L278="",0,L278))</x:f>
      </x:c>
      <x:c r="N278" s="22"/>
      <x:c r="O278" s="22" t="str">
        <x:f>IF(OR(N278="",M278=""),"",N278-M278)</x:f>
      </x:c>
      <x:c r="P278" s="24" t="str">
        <x:f>IFERROR(O278/N278,"")</x:f>
      </x:c>
      <x:c r="Q278" s="13"/>
      <x:c r="R278" s="13"/>
      <x:c r="S278" s="13" t="str">
        <x:f>IF(AND(D278="Можно заказывать",R278="Да",O278&gt;0),"GO","STOP")</x:f>
        <x:v>STOP</x:v>
      </x:c>
      <x:c r="T278" s="13"/>
    </x:row>
    <x:row r="279">
      <x:c r="A279" s="13"/>
      <x:c r="B279" s="13"/>
      <x:c r="C279" s="13"/>
      <x:c r="D279" s="13"/>
      <x:c r="E279" s="13"/>
      <x:c r="F279" s="13"/>
      <x:c r="G279" s="13"/>
      <x:c r="H279" s="22"/>
      <x:c r="I279" s="22"/>
      <x:c r="J279" s="22" t="str">
        <x:f>IF(OR(H279="",I279=""),"",H279*I279)</x:f>
      </x:c>
      <x:c r="K279" s="22"/>
      <x:c r="L279" s="22"/>
      <x:c r="M279" s="22" t="str">
        <x:f>IF(J279="","",J279+IF(K279="",0,K279)+IF(L279="",0,L279))</x:f>
      </x:c>
      <x:c r="N279" s="22"/>
      <x:c r="O279" s="22" t="str">
        <x:f>IF(OR(N279="",M279=""),"",N279-M279)</x:f>
      </x:c>
      <x:c r="P279" s="24" t="str">
        <x:f>IFERROR(O279/N279,"")</x:f>
      </x:c>
      <x:c r="Q279" s="13"/>
      <x:c r="R279" s="13"/>
      <x:c r="S279" s="13" t="str">
        <x:f>IF(AND(D279="Можно заказывать",R279="Да",O279&gt;0),"GO","STOP")</x:f>
        <x:v>STOP</x:v>
      </x:c>
      <x:c r="T279" s="13"/>
    </x:row>
    <x:row r="280">
      <x:c r="A280" s="13"/>
      <x:c r="B280" s="13"/>
      <x:c r="C280" s="13"/>
      <x:c r="D280" s="13"/>
      <x:c r="E280" s="13"/>
      <x:c r="F280" s="13"/>
      <x:c r="G280" s="13"/>
      <x:c r="H280" s="22"/>
      <x:c r="I280" s="22"/>
      <x:c r="J280" s="22" t="str">
        <x:f>IF(OR(H280="",I280=""),"",H280*I280)</x:f>
      </x:c>
      <x:c r="K280" s="22"/>
      <x:c r="L280" s="22"/>
      <x:c r="M280" s="22" t="str">
        <x:f>IF(J280="","",J280+IF(K280="",0,K280)+IF(L280="",0,L280))</x:f>
      </x:c>
      <x:c r="N280" s="22"/>
      <x:c r="O280" s="22" t="str">
        <x:f>IF(OR(N280="",M280=""),"",N280-M280)</x:f>
      </x:c>
      <x:c r="P280" s="24" t="str">
        <x:f>IFERROR(O280/N280,"")</x:f>
      </x:c>
      <x:c r="Q280" s="13"/>
      <x:c r="R280" s="13"/>
      <x:c r="S280" s="13" t="str">
        <x:f>IF(AND(D280="Можно заказывать",R280="Да",O280&gt;0),"GO","STOP")</x:f>
        <x:v>STOP</x:v>
      </x:c>
      <x:c r="T280" s="13"/>
    </x:row>
    <x:row r="281">
      <x:c r="A281" s="13"/>
      <x:c r="B281" s="13"/>
      <x:c r="C281" s="13"/>
      <x:c r="D281" s="13"/>
      <x:c r="E281" s="13"/>
      <x:c r="F281" s="13"/>
      <x:c r="G281" s="13"/>
      <x:c r="H281" s="22"/>
      <x:c r="I281" s="22"/>
      <x:c r="J281" s="22" t="str">
        <x:f>IF(OR(H281="",I281=""),"",H281*I281)</x:f>
      </x:c>
      <x:c r="K281" s="22"/>
      <x:c r="L281" s="22"/>
      <x:c r="M281" s="22" t="str">
        <x:f>IF(J281="","",J281+IF(K281="",0,K281)+IF(L281="",0,L281))</x:f>
      </x:c>
      <x:c r="N281" s="22"/>
      <x:c r="O281" s="22" t="str">
        <x:f>IF(OR(N281="",M281=""),"",N281-M281)</x:f>
      </x:c>
      <x:c r="P281" s="24" t="str">
        <x:f>IFERROR(O281/N281,"")</x:f>
      </x:c>
      <x:c r="Q281" s="13"/>
      <x:c r="R281" s="13"/>
      <x:c r="S281" s="13" t="str">
        <x:f>IF(AND(D281="Можно заказывать",R281="Да",O281&gt;0),"GO","STOP")</x:f>
        <x:v>STOP</x:v>
      </x:c>
      <x:c r="T281" s="13"/>
    </x:row>
    <x:row r="282">
      <x:c r="A282" s="13"/>
      <x:c r="B282" s="13"/>
      <x:c r="C282" s="13"/>
      <x:c r="D282" s="13"/>
      <x:c r="E282" s="13"/>
      <x:c r="F282" s="13"/>
      <x:c r="G282" s="13"/>
      <x:c r="H282" s="22"/>
      <x:c r="I282" s="22"/>
      <x:c r="J282" s="22" t="str">
        <x:f>IF(OR(H282="",I282=""),"",H282*I282)</x:f>
      </x:c>
      <x:c r="K282" s="22"/>
      <x:c r="L282" s="22"/>
      <x:c r="M282" s="22" t="str">
        <x:f>IF(J282="","",J282+IF(K282="",0,K282)+IF(L282="",0,L282))</x:f>
      </x:c>
      <x:c r="N282" s="22"/>
      <x:c r="O282" s="22" t="str">
        <x:f>IF(OR(N282="",M282=""),"",N282-M282)</x:f>
      </x:c>
      <x:c r="P282" s="24" t="str">
        <x:f>IFERROR(O282/N282,"")</x:f>
      </x:c>
      <x:c r="Q282" s="13"/>
      <x:c r="R282" s="13"/>
      <x:c r="S282" s="13" t="str">
        <x:f>IF(AND(D282="Можно заказывать",R282="Да",O282&gt;0),"GO","STOP")</x:f>
        <x:v>STOP</x:v>
      </x:c>
      <x:c r="T282" s="13"/>
    </x:row>
    <x:row r="283">
      <x:c r="A283" s="13"/>
      <x:c r="B283" s="13"/>
      <x:c r="C283" s="13"/>
      <x:c r="D283" s="13"/>
      <x:c r="E283" s="13"/>
      <x:c r="F283" s="13"/>
      <x:c r="G283" s="13"/>
      <x:c r="H283" s="22"/>
      <x:c r="I283" s="22"/>
      <x:c r="J283" s="22" t="str">
        <x:f>IF(OR(H283="",I283=""),"",H283*I283)</x:f>
      </x:c>
      <x:c r="K283" s="22"/>
      <x:c r="L283" s="22"/>
      <x:c r="M283" s="22" t="str">
        <x:f>IF(J283="","",J283+IF(K283="",0,K283)+IF(L283="",0,L283))</x:f>
      </x:c>
      <x:c r="N283" s="22"/>
      <x:c r="O283" s="22" t="str">
        <x:f>IF(OR(N283="",M283=""),"",N283-M283)</x:f>
      </x:c>
      <x:c r="P283" s="24" t="str">
        <x:f>IFERROR(O283/N283,"")</x:f>
      </x:c>
      <x:c r="Q283" s="13"/>
      <x:c r="R283" s="13"/>
      <x:c r="S283" s="13" t="str">
        <x:f>IF(AND(D283="Можно заказывать",R283="Да",O283&gt;0),"GO","STOP")</x:f>
        <x:v>STOP</x:v>
      </x:c>
      <x:c r="T283" s="13"/>
    </x:row>
    <x:row r="284">
      <x:c r="A284" s="13"/>
      <x:c r="B284" s="13"/>
      <x:c r="C284" s="13"/>
      <x:c r="D284" s="13"/>
      <x:c r="E284" s="13"/>
      <x:c r="F284" s="13"/>
      <x:c r="G284" s="13"/>
      <x:c r="H284" s="22"/>
      <x:c r="I284" s="22"/>
      <x:c r="J284" s="22" t="str">
        <x:f>IF(OR(H284="",I284=""),"",H284*I284)</x:f>
      </x:c>
      <x:c r="K284" s="22"/>
      <x:c r="L284" s="22"/>
      <x:c r="M284" s="22" t="str">
        <x:f>IF(J284="","",J284+IF(K284="",0,K284)+IF(L284="",0,L284))</x:f>
      </x:c>
      <x:c r="N284" s="22"/>
      <x:c r="O284" s="22" t="str">
        <x:f>IF(OR(N284="",M284=""),"",N284-M284)</x:f>
      </x:c>
      <x:c r="P284" s="24" t="str">
        <x:f>IFERROR(O284/N284,"")</x:f>
      </x:c>
      <x:c r="Q284" s="13"/>
      <x:c r="R284" s="13"/>
      <x:c r="S284" s="13" t="str">
        <x:f>IF(AND(D284="Можно заказывать",R284="Да",O284&gt;0),"GO","STOP")</x:f>
        <x:v>STOP</x:v>
      </x:c>
      <x:c r="T284" s="13"/>
    </x:row>
    <x:row r="285">
      <x:c r="A285" s="13"/>
      <x:c r="B285" s="13"/>
      <x:c r="C285" s="13"/>
      <x:c r="D285" s="13"/>
      <x:c r="E285" s="13"/>
      <x:c r="F285" s="13"/>
      <x:c r="G285" s="13"/>
      <x:c r="H285" s="22"/>
      <x:c r="I285" s="22"/>
      <x:c r="J285" s="22" t="str">
        <x:f>IF(OR(H285="",I285=""),"",H285*I285)</x:f>
      </x:c>
      <x:c r="K285" s="22"/>
      <x:c r="L285" s="22"/>
      <x:c r="M285" s="22" t="str">
        <x:f>IF(J285="","",J285+IF(K285="",0,K285)+IF(L285="",0,L285))</x:f>
      </x:c>
      <x:c r="N285" s="22"/>
      <x:c r="O285" s="22" t="str">
        <x:f>IF(OR(N285="",M285=""),"",N285-M285)</x:f>
      </x:c>
      <x:c r="P285" s="24" t="str">
        <x:f>IFERROR(O285/N285,"")</x:f>
      </x:c>
      <x:c r="Q285" s="13"/>
      <x:c r="R285" s="13"/>
      <x:c r="S285" s="13" t="str">
        <x:f>IF(AND(D285="Можно заказывать",R285="Да",O285&gt;0),"GO","STOP")</x:f>
        <x:v>STOP</x:v>
      </x:c>
      <x:c r="T285" s="13"/>
    </x:row>
    <x:row r="286">
      <x:c r="A286" s="13"/>
      <x:c r="B286" s="13"/>
      <x:c r="C286" s="13"/>
      <x:c r="D286" s="13"/>
      <x:c r="E286" s="13"/>
      <x:c r="F286" s="13"/>
      <x:c r="G286" s="13"/>
      <x:c r="H286" s="22"/>
      <x:c r="I286" s="22"/>
      <x:c r="J286" s="22" t="str">
        <x:f>IF(OR(H286="",I286=""),"",H286*I286)</x:f>
      </x:c>
      <x:c r="K286" s="22"/>
      <x:c r="L286" s="22"/>
      <x:c r="M286" s="22" t="str">
        <x:f>IF(J286="","",J286+IF(K286="",0,K286)+IF(L286="",0,L286))</x:f>
      </x:c>
      <x:c r="N286" s="22"/>
      <x:c r="O286" s="22" t="str">
        <x:f>IF(OR(N286="",M286=""),"",N286-M286)</x:f>
      </x:c>
      <x:c r="P286" s="24" t="str">
        <x:f>IFERROR(O286/N286,"")</x:f>
      </x:c>
      <x:c r="Q286" s="13"/>
      <x:c r="R286" s="13"/>
      <x:c r="S286" s="13" t="str">
        <x:f>IF(AND(D286="Можно заказывать",R286="Да",O286&gt;0),"GO","STOP")</x:f>
        <x:v>STOP</x:v>
      </x:c>
      <x:c r="T286" s="13"/>
    </x:row>
    <x:row r="287">
      <x:c r="A287" s="13"/>
      <x:c r="B287" s="13"/>
      <x:c r="C287" s="13"/>
      <x:c r="D287" s="13"/>
      <x:c r="E287" s="13"/>
      <x:c r="F287" s="13"/>
      <x:c r="G287" s="13"/>
      <x:c r="H287" s="22"/>
      <x:c r="I287" s="22"/>
      <x:c r="J287" s="22" t="str">
        <x:f>IF(OR(H287="",I287=""),"",H287*I287)</x:f>
      </x:c>
      <x:c r="K287" s="22"/>
      <x:c r="L287" s="22"/>
      <x:c r="M287" s="22" t="str">
        <x:f>IF(J287="","",J287+IF(K287="",0,K287)+IF(L287="",0,L287))</x:f>
      </x:c>
      <x:c r="N287" s="22"/>
      <x:c r="O287" s="22" t="str">
        <x:f>IF(OR(N287="",M287=""),"",N287-M287)</x:f>
      </x:c>
      <x:c r="P287" s="24" t="str">
        <x:f>IFERROR(O287/N287,"")</x:f>
      </x:c>
      <x:c r="Q287" s="13"/>
      <x:c r="R287" s="13"/>
      <x:c r="S287" s="13" t="str">
        <x:f>IF(AND(D287="Можно заказывать",R287="Да",O287&gt;0),"GO","STOP")</x:f>
        <x:v>STOP</x:v>
      </x:c>
      <x:c r="T287" s="13"/>
    </x:row>
    <x:row r="288">
      <x:c r="A288" s="13"/>
      <x:c r="B288" s="13"/>
      <x:c r="C288" s="13"/>
      <x:c r="D288" s="13"/>
      <x:c r="E288" s="13"/>
      <x:c r="F288" s="13"/>
      <x:c r="G288" s="13"/>
      <x:c r="H288" s="22"/>
      <x:c r="I288" s="22"/>
      <x:c r="J288" s="22" t="str">
        <x:f>IF(OR(H288="",I288=""),"",H288*I288)</x:f>
      </x:c>
      <x:c r="K288" s="22"/>
      <x:c r="L288" s="22"/>
      <x:c r="M288" s="22" t="str">
        <x:f>IF(J288="","",J288+IF(K288="",0,K288)+IF(L288="",0,L288))</x:f>
      </x:c>
      <x:c r="N288" s="22"/>
      <x:c r="O288" s="22" t="str">
        <x:f>IF(OR(N288="",M288=""),"",N288-M288)</x:f>
      </x:c>
      <x:c r="P288" s="24" t="str">
        <x:f>IFERROR(O288/N288,"")</x:f>
      </x:c>
      <x:c r="Q288" s="13"/>
      <x:c r="R288" s="13"/>
      <x:c r="S288" s="13" t="str">
        <x:f>IF(AND(D288="Можно заказывать",R288="Да",O288&gt;0),"GO","STOP")</x:f>
        <x:v>STOP</x:v>
      </x:c>
      <x:c r="T288" s="13"/>
    </x:row>
    <x:row r="289">
      <x:c r="A289" s="13"/>
      <x:c r="B289" s="13"/>
      <x:c r="C289" s="13"/>
      <x:c r="D289" s="13"/>
      <x:c r="E289" s="13"/>
      <x:c r="F289" s="13"/>
      <x:c r="G289" s="13"/>
      <x:c r="H289" s="22"/>
      <x:c r="I289" s="22"/>
      <x:c r="J289" s="22" t="str">
        <x:f>IF(OR(H289="",I289=""),"",H289*I289)</x:f>
      </x:c>
      <x:c r="K289" s="22"/>
      <x:c r="L289" s="22"/>
      <x:c r="M289" s="22" t="str">
        <x:f>IF(J289="","",J289+IF(K289="",0,K289)+IF(L289="",0,L289))</x:f>
      </x:c>
      <x:c r="N289" s="22"/>
      <x:c r="O289" s="22" t="str">
        <x:f>IF(OR(N289="",M289=""),"",N289-M289)</x:f>
      </x:c>
      <x:c r="P289" s="24" t="str">
        <x:f>IFERROR(O289/N289,"")</x:f>
      </x:c>
      <x:c r="Q289" s="13"/>
      <x:c r="R289" s="13"/>
      <x:c r="S289" s="13" t="str">
        <x:f>IF(AND(D289="Можно заказывать",R289="Да",O289&gt;0),"GO","STOP")</x:f>
        <x:v>STOP</x:v>
      </x:c>
      <x:c r="T289" s="13"/>
    </x:row>
    <x:row r="290">
      <x:c r="A290" s="13"/>
      <x:c r="B290" s="13"/>
      <x:c r="C290" s="13"/>
      <x:c r="D290" s="13"/>
      <x:c r="E290" s="13"/>
      <x:c r="F290" s="13"/>
      <x:c r="G290" s="13"/>
      <x:c r="H290" s="22"/>
      <x:c r="I290" s="22"/>
      <x:c r="J290" s="22" t="str">
        <x:f>IF(OR(H290="",I290=""),"",H290*I290)</x:f>
      </x:c>
      <x:c r="K290" s="22"/>
      <x:c r="L290" s="22"/>
      <x:c r="M290" s="22" t="str">
        <x:f>IF(J290="","",J290+IF(K290="",0,K290)+IF(L290="",0,L290))</x:f>
      </x:c>
      <x:c r="N290" s="22"/>
      <x:c r="O290" s="22" t="str">
        <x:f>IF(OR(N290="",M290=""),"",N290-M290)</x:f>
      </x:c>
      <x:c r="P290" s="24" t="str">
        <x:f>IFERROR(O290/N290,"")</x:f>
      </x:c>
      <x:c r="Q290" s="13"/>
      <x:c r="R290" s="13"/>
      <x:c r="S290" s="13" t="str">
        <x:f>IF(AND(D290="Можно заказывать",R290="Да",O290&gt;0),"GO","STOP")</x:f>
        <x:v>STOP</x:v>
      </x:c>
      <x:c r="T290" s="13"/>
    </x:row>
    <x:row r="291">
      <x:c r="A291" s="13"/>
      <x:c r="B291" s="13"/>
      <x:c r="C291" s="13"/>
      <x:c r="D291" s="13"/>
      <x:c r="E291" s="13"/>
      <x:c r="F291" s="13"/>
      <x:c r="G291" s="13"/>
      <x:c r="H291" s="22"/>
      <x:c r="I291" s="22"/>
      <x:c r="J291" s="22" t="str">
        <x:f>IF(OR(H291="",I291=""),"",H291*I291)</x:f>
      </x:c>
      <x:c r="K291" s="22"/>
      <x:c r="L291" s="22"/>
      <x:c r="M291" s="22" t="str">
        <x:f>IF(J291="","",J291+IF(K291="",0,K291)+IF(L291="",0,L291))</x:f>
      </x:c>
      <x:c r="N291" s="22"/>
      <x:c r="O291" s="22" t="str">
        <x:f>IF(OR(N291="",M291=""),"",N291-M291)</x:f>
      </x:c>
      <x:c r="P291" s="24" t="str">
        <x:f>IFERROR(O291/N291,"")</x:f>
      </x:c>
      <x:c r="Q291" s="13"/>
      <x:c r="R291" s="13"/>
      <x:c r="S291" s="13" t="str">
        <x:f>IF(AND(D291="Можно заказывать",R291="Да",O291&gt;0),"GO","STOP")</x:f>
        <x:v>STOP</x:v>
      </x:c>
      <x:c r="T291" s="13"/>
    </x:row>
    <x:row r="292">
      <x:c r="A292" s="13"/>
      <x:c r="B292" s="13"/>
      <x:c r="C292" s="13"/>
      <x:c r="D292" s="13"/>
      <x:c r="E292" s="13"/>
      <x:c r="F292" s="13"/>
      <x:c r="G292" s="13"/>
      <x:c r="H292" s="22"/>
      <x:c r="I292" s="22"/>
      <x:c r="J292" s="22" t="str">
        <x:f>IF(OR(H292="",I292=""),"",H292*I292)</x:f>
      </x:c>
      <x:c r="K292" s="22"/>
      <x:c r="L292" s="22"/>
      <x:c r="M292" s="22" t="str">
        <x:f>IF(J292="","",J292+IF(K292="",0,K292)+IF(L292="",0,L292))</x:f>
      </x:c>
      <x:c r="N292" s="22"/>
      <x:c r="O292" s="22" t="str">
        <x:f>IF(OR(N292="",M292=""),"",N292-M292)</x:f>
      </x:c>
      <x:c r="P292" s="24" t="str">
        <x:f>IFERROR(O292/N292,"")</x:f>
      </x:c>
      <x:c r="Q292" s="13"/>
      <x:c r="R292" s="13"/>
      <x:c r="S292" s="13" t="str">
        <x:f>IF(AND(D292="Можно заказывать",R292="Да",O292&gt;0),"GO","STOP")</x:f>
        <x:v>STOP</x:v>
      </x:c>
      <x:c r="T292" s="13"/>
    </x:row>
    <x:row r="293">
      <x:c r="A293" s="13"/>
      <x:c r="B293" s="13"/>
      <x:c r="C293" s="13"/>
      <x:c r="D293" s="13"/>
      <x:c r="E293" s="13"/>
      <x:c r="F293" s="13"/>
      <x:c r="G293" s="13"/>
      <x:c r="H293" s="22"/>
      <x:c r="I293" s="22"/>
      <x:c r="J293" s="22" t="str">
        <x:f>IF(OR(H293="",I293=""),"",H293*I293)</x:f>
      </x:c>
      <x:c r="K293" s="22"/>
      <x:c r="L293" s="22"/>
      <x:c r="M293" s="22" t="str">
        <x:f>IF(J293="","",J293+IF(K293="",0,K293)+IF(L293="",0,L293))</x:f>
      </x:c>
      <x:c r="N293" s="22"/>
      <x:c r="O293" s="22" t="str">
        <x:f>IF(OR(N293="",M293=""),"",N293-M293)</x:f>
      </x:c>
      <x:c r="P293" s="24" t="str">
        <x:f>IFERROR(O293/N293,"")</x:f>
      </x:c>
      <x:c r="Q293" s="13"/>
      <x:c r="R293" s="13"/>
      <x:c r="S293" s="13" t="str">
        <x:f>IF(AND(D293="Можно заказывать",R293="Да",O293&gt;0),"GO","STOP")</x:f>
        <x:v>STOP</x:v>
      </x:c>
      <x:c r="T293" s="13"/>
    </x:row>
    <x:row r="294">
      <x:c r="A294" s="13"/>
      <x:c r="B294" s="13"/>
      <x:c r="C294" s="13"/>
      <x:c r="D294" s="13"/>
      <x:c r="E294" s="13"/>
      <x:c r="F294" s="13"/>
      <x:c r="G294" s="13"/>
      <x:c r="H294" s="22"/>
      <x:c r="I294" s="22"/>
      <x:c r="J294" s="22" t="str">
        <x:f>IF(OR(H294="",I294=""),"",H294*I294)</x:f>
      </x:c>
      <x:c r="K294" s="22"/>
      <x:c r="L294" s="22"/>
      <x:c r="M294" s="22" t="str">
        <x:f>IF(J294="","",J294+IF(K294="",0,K294)+IF(L294="",0,L294))</x:f>
      </x:c>
      <x:c r="N294" s="22"/>
      <x:c r="O294" s="22" t="str">
        <x:f>IF(OR(N294="",M294=""),"",N294-M294)</x:f>
      </x:c>
      <x:c r="P294" s="24" t="str">
        <x:f>IFERROR(O294/N294,"")</x:f>
      </x:c>
      <x:c r="Q294" s="13"/>
      <x:c r="R294" s="13"/>
      <x:c r="S294" s="13" t="str">
        <x:f>IF(AND(D294="Можно заказывать",R294="Да",O294&gt;0),"GO","STOP")</x:f>
        <x:v>STOP</x:v>
      </x:c>
      <x:c r="T294" s="13"/>
    </x:row>
    <x:row r="295">
      <x:c r="A295" s="13"/>
      <x:c r="B295" s="13"/>
      <x:c r="C295" s="13"/>
      <x:c r="D295" s="13"/>
      <x:c r="E295" s="13"/>
      <x:c r="F295" s="13"/>
      <x:c r="G295" s="13"/>
      <x:c r="H295" s="22"/>
      <x:c r="I295" s="22"/>
      <x:c r="J295" s="22" t="str">
        <x:f>IF(OR(H295="",I295=""),"",H295*I295)</x:f>
      </x:c>
      <x:c r="K295" s="22"/>
      <x:c r="L295" s="22"/>
      <x:c r="M295" s="22" t="str">
        <x:f>IF(J295="","",J295+IF(K295="",0,K295)+IF(L295="",0,L295))</x:f>
      </x:c>
      <x:c r="N295" s="22"/>
      <x:c r="O295" s="22" t="str">
        <x:f>IF(OR(N295="",M295=""),"",N295-M295)</x:f>
      </x:c>
      <x:c r="P295" s="24" t="str">
        <x:f>IFERROR(O295/N295,"")</x:f>
      </x:c>
      <x:c r="Q295" s="13"/>
      <x:c r="R295" s="13"/>
      <x:c r="S295" s="13" t="str">
        <x:f>IF(AND(D295="Можно заказывать",R295="Да",O295&gt;0),"GO","STOP")</x:f>
        <x:v>STOP</x:v>
      </x:c>
      <x:c r="T295" s="13"/>
    </x:row>
    <x:row r="296">
      <x:c r="A296" s="13"/>
      <x:c r="B296" s="13"/>
      <x:c r="C296" s="13"/>
      <x:c r="D296" s="13"/>
      <x:c r="E296" s="13"/>
      <x:c r="F296" s="13"/>
      <x:c r="G296" s="13"/>
      <x:c r="H296" s="22"/>
      <x:c r="I296" s="22"/>
      <x:c r="J296" s="22" t="str">
        <x:f>IF(OR(H296="",I296=""),"",H296*I296)</x:f>
      </x:c>
      <x:c r="K296" s="22"/>
      <x:c r="L296" s="22"/>
      <x:c r="M296" s="22" t="str">
        <x:f>IF(J296="","",J296+IF(K296="",0,K296)+IF(L296="",0,L296))</x:f>
      </x:c>
      <x:c r="N296" s="22"/>
      <x:c r="O296" s="22" t="str">
        <x:f>IF(OR(N296="",M296=""),"",N296-M296)</x:f>
      </x:c>
      <x:c r="P296" s="24" t="str">
        <x:f>IFERROR(O296/N296,"")</x:f>
      </x:c>
      <x:c r="Q296" s="13"/>
      <x:c r="R296" s="13"/>
      <x:c r="S296" s="13" t="str">
        <x:f>IF(AND(D296="Можно заказывать",R296="Да",O296&gt;0),"GO","STOP")</x:f>
        <x:v>STOP</x:v>
      </x:c>
      <x:c r="T296" s="13"/>
    </x:row>
    <x:row r="297">
      <x:c r="A297" s="13"/>
      <x:c r="B297" s="13"/>
      <x:c r="C297" s="13"/>
      <x:c r="D297" s="13"/>
      <x:c r="E297" s="13"/>
      <x:c r="F297" s="13"/>
      <x:c r="G297" s="13"/>
      <x:c r="H297" s="22"/>
      <x:c r="I297" s="22"/>
      <x:c r="J297" s="22" t="str">
        <x:f>IF(OR(H297="",I297=""),"",H297*I297)</x:f>
      </x:c>
      <x:c r="K297" s="22"/>
      <x:c r="L297" s="22"/>
      <x:c r="M297" s="22" t="str">
        <x:f>IF(J297="","",J297+IF(K297="",0,K297)+IF(L297="",0,L297))</x:f>
      </x:c>
      <x:c r="N297" s="22"/>
      <x:c r="O297" s="22" t="str">
        <x:f>IF(OR(N297="",M297=""),"",N297-M297)</x:f>
      </x:c>
      <x:c r="P297" s="24" t="str">
        <x:f>IFERROR(O297/N297,"")</x:f>
      </x:c>
      <x:c r="Q297" s="13"/>
      <x:c r="R297" s="13"/>
      <x:c r="S297" s="13" t="str">
        <x:f>IF(AND(D297="Можно заказывать",R297="Да",O297&gt;0),"GO","STOP")</x:f>
        <x:v>STOP</x:v>
      </x:c>
      <x:c r="T297" s="13"/>
    </x:row>
    <x:row r="298">
      <x:c r="A298" s="13"/>
      <x:c r="B298" s="13"/>
      <x:c r="C298" s="13"/>
      <x:c r="D298" s="13"/>
      <x:c r="E298" s="13"/>
      <x:c r="F298" s="13"/>
      <x:c r="G298" s="13"/>
      <x:c r="H298" s="22"/>
      <x:c r="I298" s="22"/>
      <x:c r="J298" s="22" t="str">
        <x:f>IF(OR(H298="",I298=""),"",H298*I298)</x:f>
      </x:c>
      <x:c r="K298" s="22"/>
      <x:c r="L298" s="22"/>
      <x:c r="M298" s="22" t="str">
        <x:f>IF(J298="","",J298+IF(K298="",0,K298)+IF(L298="",0,L298))</x:f>
      </x:c>
      <x:c r="N298" s="22"/>
      <x:c r="O298" s="22" t="str">
        <x:f>IF(OR(N298="",M298=""),"",N298-M298)</x:f>
      </x:c>
      <x:c r="P298" s="24" t="str">
        <x:f>IFERROR(O298/N298,"")</x:f>
      </x:c>
      <x:c r="Q298" s="13"/>
      <x:c r="R298" s="13"/>
      <x:c r="S298" s="13" t="str">
        <x:f>IF(AND(D298="Можно заказывать",R298="Да",O298&gt;0),"GO","STOP")</x:f>
        <x:v>STOP</x:v>
      </x:c>
      <x:c r="T298" s="13"/>
    </x:row>
    <x:row r="299">
      <x:c r="A299" s="13"/>
      <x:c r="B299" s="13"/>
      <x:c r="C299" s="13"/>
      <x:c r="D299" s="13"/>
      <x:c r="E299" s="13"/>
      <x:c r="F299" s="13"/>
      <x:c r="G299" s="13"/>
      <x:c r="H299" s="22"/>
      <x:c r="I299" s="22"/>
      <x:c r="J299" s="22" t="str">
        <x:f>IF(OR(H299="",I299=""),"",H299*I299)</x:f>
      </x:c>
      <x:c r="K299" s="22"/>
      <x:c r="L299" s="22"/>
      <x:c r="M299" s="22" t="str">
        <x:f>IF(J299="","",J299+IF(K299="",0,K299)+IF(L299="",0,L299))</x:f>
      </x:c>
      <x:c r="N299" s="22"/>
      <x:c r="O299" s="22" t="str">
        <x:f>IF(OR(N299="",M299=""),"",N299-M299)</x:f>
      </x:c>
      <x:c r="P299" s="24" t="str">
        <x:f>IFERROR(O299/N299,"")</x:f>
      </x:c>
      <x:c r="Q299" s="13"/>
      <x:c r="R299" s="13"/>
      <x:c r="S299" s="13" t="str">
        <x:f>IF(AND(D299="Можно заказывать",R299="Да",O299&gt;0),"GO","STOP")</x:f>
        <x:v>STOP</x:v>
      </x:c>
      <x:c r="T299" s="13"/>
    </x:row>
    <x:row r="300">
      <x:c r="A300" s="13"/>
      <x:c r="B300" s="13"/>
      <x:c r="C300" s="13"/>
      <x:c r="D300" s="13"/>
      <x:c r="E300" s="13"/>
      <x:c r="F300" s="13"/>
      <x:c r="G300" s="13"/>
      <x:c r="H300" s="22"/>
      <x:c r="I300" s="22"/>
      <x:c r="J300" s="22" t="str">
        <x:f>IF(OR(H300="",I300=""),"",H300*I300)</x:f>
      </x:c>
      <x:c r="K300" s="22"/>
      <x:c r="L300" s="22"/>
      <x:c r="M300" s="22" t="str">
        <x:f>IF(J300="","",J300+IF(K300="",0,K300)+IF(L300="",0,L300))</x:f>
      </x:c>
      <x:c r="N300" s="22"/>
      <x:c r="O300" s="22" t="str">
        <x:f>IF(OR(N300="",M300=""),"",N300-M300)</x:f>
      </x:c>
      <x:c r="P300" s="24" t="str">
        <x:f>IFERROR(O300/N300,"")</x:f>
      </x:c>
      <x:c r="Q300" s="13"/>
      <x:c r="R300" s="13"/>
      <x:c r="S300" s="13" t="str">
        <x:f>IF(AND(D300="Можно заказывать",R300="Да",O300&gt;0),"GO","STOP")</x:f>
        <x:v>STOP</x:v>
      </x:c>
      <x:c r="T300" s="13"/>
    </x:row>
    <x:row r="301">
      <x:c r="A301" s="13"/>
      <x:c r="B301" s="13"/>
      <x:c r="C301" s="13"/>
      <x:c r="D301" s="13"/>
      <x:c r="E301" s="13"/>
      <x:c r="F301" s="13"/>
      <x:c r="G301" s="13"/>
      <x:c r="H301" s="22"/>
      <x:c r="I301" s="22"/>
      <x:c r="J301" s="22" t="str">
        <x:f>IF(OR(H301="",I301=""),"",H301*I301)</x:f>
      </x:c>
      <x:c r="K301" s="22"/>
      <x:c r="L301" s="22"/>
      <x:c r="M301" s="22" t="str">
        <x:f>IF(J301="","",J301+IF(K301="",0,K301)+IF(L301="",0,L301))</x:f>
      </x:c>
      <x:c r="N301" s="22"/>
      <x:c r="O301" s="22" t="str">
        <x:f>IF(OR(N301="",M301=""),"",N301-M301)</x:f>
      </x:c>
      <x:c r="P301" s="24" t="str">
        <x:f>IFERROR(O301/N301,"")</x:f>
      </x:c>
      <x:c r="Q301" s="13"/>
      <x:c r="R301" s="13"/>
      <x:c r="S301" s="13" t="str">
        <x:f>IF(AND(D301="Можно заказывать",R301="Да",O301&gt;0),"GO","STOP")</x:f>
        <x:v>STOP</x:v>
      </x:c>
      <x:c r="T301" s="13"/>
    </x:row>
  </x:sheetData>
  <x:conditionalFormatting sqref="S2:S301">
    <x:cfRule type="cellIs" dxfId="0" priority="1">
      <x:formula>"GO"</x:formula>
    </x:cfRule>
    <x:cfRule type="cellIs" dxfId="1" priority="2">
      <x:formula>"STOP"</x:formula>
    </x:cfRule>
  </x:conditionalFormatting>
  <x:conditionalFormatting sqref="O2:O301">
    <x:cfRule type="cellIs" dxfId="2" priority="3" operator="lessThan">
      <x:formula>0</x:formula>
    </x:cfRule>
    <x:cfRule type="cellIs" dxfId="3" priority="4" operator="greaterThan">
      <x:formula>0</x:formula>
    </x:cfRule>
  </x:conditionalFormatting>
  <x:dataValidations count="3">
    <x:dataValidation type="list" sqref="D2:D301">
      <x:formula1>"Можно заказывать,Требует подтверждения,Возможно подходит,Не подходит,Ждём ответ"</x:formula1>
    </x:dataValidation>
    <x:dataValidation type="list" sqref="Q2:Q301">
      <x:formula1>"Низкий,Средний,Высокий,Критический"</x:formula1>
    </x:dataValidation>
    <x:dataValidation type="list" sqref="R2:R301">
      <x:formula1>"Да,Нет,Частично"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d6d720f5204d9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2" hidden="0" customWidth="1"/>
    <x:col min="4" max="4" width="22" hidden="0" customWidth="1"/>
    <x:col min="5" max="5" width="42" hidden="0" customWidth="1"/>
    <x:col min="6" max="6" width="40" hidden="0" customWidth="1"/>
    <x:col min="7" max="7" width="16" hidden="0" customWidth="1"/>
    <x:col min="8" max="8" width="14" hidden="0" customWidth="1"/>
  </x:cols>
  <x:sheetData>
    <x:row r="1">
      <x:c r="A1" s="29" t="str">
        <x:v>Позиция</x:v>
      </x:c>
      <x:c r="B1" s="29" t="str">
        <x:v>Товар по ТЗ</x:v>
      </x:c>
      <x:c r="C1" s="29" t="str">
        <x:v>Найденный товар</x:v>
      </x:c>
      <x:c r="D1" s="29" t="str">
        <x:v>Поставщик</x:v>
      </x:c>
      <x:c r="E1" s="29" t="str">
        <x:v>Ссылка</x:v>
      </x:c>
      <x:c r="F1" s="29" t="str">
        <x:v>Причина отказа</x:v>
      </x:c>
      <x:c r="G1" s="29" t="str">
        <x:v>Риск</x:v>
      </x:c>
      <x:c r="H1" s="29" t="str">
        <x:v>Дата проверки</x:v>
      </x:c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>
      <x:c r="A6" s="13"/>
      <x:c r="B6" s="13"/>
      <x:c r="C6" s="13"/>
      <x:c r="D6" s="13"/>
      <x:c r="E6" s="13"/>
      <x:c r="F6" s="13"/>
      <x:c r="G6" s="13"/>
      <x:c r="H6" s="13"/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  <x:row r="41">
      <x:c r="A41" s="13"/>
      <x:c r="B41" s="13"/>
      <x:c r="C41" s="13"/>
      <x:c r="D41" s="13"/>
      <x:c r="E41" s="13"/>
      <x:c r="F41" s="13"/>
      <x:c r="G41" s="13"/>
      <x:c r="H41" s="13"/>
    </x:row>
    <x:row r="42">
      <x:c r="A42" s="13"/>
      <x:c r="B42" s="13"/>
      <x:c r="C42" s="13"/>
      <x:c r="D42" s="13"/>
      <x:c r="E42" s="13"/>
      <x:c r="F42" s="13"/>
      <x:c r="G42" s="13"/>
      <x:c r="H42" s="13"/>
    </x:row>
    <x:row r="43">
      <x:c r="A43" s="13"/>
      <x:c r="B43" s="13"/>
      <x:c r="C43" s="13"/>
      <x:c r="D43" s="13"/>
      <x:c r="E43" s="13"/>
      <x:c r="F43" s="13"/>
      <x:c r="G43" s="13"/>
      <x:c r="H43" s="13"/>
    </x:row>
    <x:row r="44">
      <x:c r="A44" s="13"/>
      <x:c r="B44" s="13"/>
      <x:c r="C44" s="13"/>
      <x:c r="D44" s="13"/>
      <x:c r="E44" s="13"/>
      <x:c r="F44" s="13"/>
      <x:c r="G44" s="13"/>
      <x:c r="H44" s="13"/>
    </x:row>
    <x:row r="45">
      <x:c r="A45" s="13"/>
      <x:c r="B45" s="13"/>
      <x:c r="C45" s="13"/>
      <x:c r="D45" s="13"/>
      <x:c r="E45" s="13"/>
      <x:c r="F45" s="13"/>
      <x:c r="G45" s="13"/>
      <x:c r="H45" s="13"/>
    </x:row>
    <x:row r="46">
      <x:c r="A46" s="13"/>
      <x:c r="B46" s="13"/>
      <x:c r="C46" s="13"/>
      <x:c r="D46" s="13"/>
      <x:c r="E46" s="13"/>
      <x:c r="F46" s="13"/>
      <x:c r="G46" s="13"/>
      <x:c r="H46" s="13"/>
    </x:row>
    <x:row r="47">
      <x:c r="A47" s="13"/>
      <x:c r="B47" s="13"/>
      <x:c r="C47" s="13"/>
      <x:c r="D47" s="13"/>
      <x:c r="E47" s="13"/>
      <x:c r="F47" s="13"/>
      <x:c r="G47" s="13"/>
      <x:c r="H47" s="13"/>
    </x:row>
    <x:row r="48">
      <x:c r="A48" s="13"/>
      <x:c r="B48" s="13"/>
      <x:c r="C48" s="13"/>
      <x:c r="D48" s="13"/>
      <x:c r="E48" s="13"/>
      <x:c r="F48" s="13"/>
      <x:c r="G48" s="13"/>
      <x:c r="H48" s="13"/>
    </x:row>
    <x:row r="49">
      <x:c r="A49" s="13"/>
      <x:c r="B49" s="13"/>
      <x:c r="C49" s="13"/>
      <x:c r="D49" s="13"/>
      <x:c r="E49" s="13"/>
      <x:c r="F49" s="13"/>
      <x:c r="G49" s="13"/>
      <x:c r="H49" s="13"/>
    </x:row>
    <x:row r="50">
      <x:c r="A50" s="13"/>
      <x:c r="B50" s="13"/>
      <x:c r="C50" s="13"/>
      <x:c r="D50" s="13"/>
      <x:c r="E50" s="13"/>
      <x:c r="F50" s="13"/>
      <x:c r="G50" s="13"/>
      <x:c r="H50" s="13"/>
    </x:row>
    <x:row r="51">
      <x:c r="A51" s="13"/>
      <x:c r="B51" s="13"/>
      <x:c r="C51" s="13"/>
      <x:c r="D51" s="13"/>
      <x:c r="E51" s="13"/>
      <x:c r="F51" s="13"/>
      <x:c r="G51" s="13"/>
      <x:c r="H51" s="13"/>
    </x:row>
    <x:row r="52">
      <x:c r="A52" s="13"/>
      <x:c r="B52" s="13"/>
      <x:c r="C52" s="13"/>
      <x:c r="D52" s="13"/>
      <x:c r="E52" s="13"/>
      <x:c r="F52" s="13"/>
      <x:c r="G52" s="13"/>
      <x:c r="H52" s="13"/>
    </x:row>
    <x:row r="53">
      <x:c r="A53" s="13"/>
      <x:c r="B53" s="13"/>
      <x:c r="C53" s="13"/>
      <x:c r="D53" s="13"/>
      <x:c r="E53" s="13"/>
      <x:c r="F53" s="13"/>
      <x:c r="G53" s="13"/>
      <x:c r="H53" s="13"/>
    </x:row>
    <x:row r="54">
      <x:c r="A54" s="13"/>
      <x:c r="B54" s="13"/>
      <x:c r="C54" s="13"/>
      <x:c r="D54" s="13"/>
      <x:c r="E54" s="13"/>
      <x:c r="F54" s="13"/>
      <x:c r="G54" s="13"/>
      <x:c r="H54" s="13"/>
    </x:row>
    <x:row r="55">
      <x:c r="A55" s="13"/>
      <x:c r="B55" s="13"/>
      <x:c r="C55" s="13"/>
      <x:c r="D55" s="13"/>
      <x:c r="E55" s="13"/>
      <x:c r="F55" s="13"/>
      <x:c r="G55" s="13"/>
      <x:c r="H55" s="13"/>
    </x:row>
    <x:row r="56">
      <x:c r="A56" s="13"/>
      <x:c r="B56" s="13"/>
      <x:c r="C56" s="13"/>
      <x:c r="D56" s="13"/>
      <x:c r="E56" s="13"/>
      <x:c r="F56" s="13"/>
      <x:c r="G56" s="13"/>
      <x:c r="H56" s="13"/>
    </x:row>
    <x:row r="57">
      <x:c r="A57" s="13"/>
      <x:c r="B57" s="13"/>
      <x:c r="C57" s="13"/>
      <x:c r="D57" s="13"/>
      <x:c r="E57" s="13"/>
      <x:c r="F57" s="13"/>
      <x:c r="G57" s="13"/>
      <x:c r="H57" s="13"/>
    </x:row>
    <x:row r="58">
      <x:c r="A58" s="13"/>
      <x:c r="B58" s="13"/>
      <x:c r="C58" s="13"/>
      <x:c r="D58" s="13"/>
      <x:c r="E58" s="13"/>
      <x:c r="F58" s="13"/>
      <x:c r="G58" s="13"/>
      <x:c r="H58" s="13"/>
    </x:row>
    <x:row r="59">
      <x:c r="A59" s="13"/>
      <x:c r="B59" s="13"/>
      <x:c r="C59" s="13"/>
      <x:c r="D59" s="13"/>
      <x:c r="E59" s="13"/>
      <x:c r="F59" s="13"/>
      <x:c r="G59" s="13"/>
      <x:c r="H59" s="13"/>
    </x:row>
    <x:row r="60">
      <x:c r="A60" s="13"/>
      <x:c r="B60" s="13"/>
      <x:c r="C60" s="13"/>
      <x:c r="D60" s="13"/>
      <x:c r="E60" s="13"/>
      <x:c r="F60" s="13"/>
      <x:c r="G60" s="13"/>
      <x:c r="H60" s="13"/>
    </x:row>
    <x:row r="61">
      <x:c r="A61" s="13"/>
      <x:c r="B61" s="13"/>
      <x:c r="C61" s="13"/>
      <x:c r="D61" s="13"/>
      <x:c r="E61" s="13"/>
      <x:c r="F61" s="13"/>
      <x:c r="G61" s="13"/>
      <x:c r="H61" s="13"/>
    </x:row>
    <x:row r="62">
      <x:c r="A62" s="13"/>
      <x:c r="B62" s="13"/>
      <x:c r="C62" s="13"/>
      <x:c r="D62" s="13"/>
      <x:c r="E62" s="13"/>
      <x:c r="F62" s="13"/>
      <x:c r="G62" s="13"/>
      <x:c r="H62" s="13"/>
    </x:row>
    <x:row r="63">
      <x:c r="A63" s="13"/>
      <x:c r="B63" s="13"/>
      <x:c r="C63" s="13"/>
      <x:c r="D63" s="13"/>
      <x:c r="E63" s="13"/>
      <x:c r="F63" s="13"/>
      <x:c r="G63" s="13"/>
      <x:c r="H63" s="13"/>
    </x:row>
    <x:row r="64">
      <x:c r="A64" s="13"/>
      <x:c r="B64" s="13"/>
      <x:c r="C64" s="13"/>
      <x:c r="D64" s="13"/>
      <x:c r="E64" s="13"/>
      <x:c r="F64" s="13"/>
      <x:c r="G64" s="13"/>
      <x:c r="H64" s="13"/>
    </x:row>
    <x:row r="65">
      <x:c r="A65" s="13"/>
      <x:c r="B65" s="13"/>
      <x:c r="C65" s="13"/>
      <x:c r="D65" s="13"/>
      <x:c r="E65" s="13"/>
      <x:c r="F65" s="13"/>
      <x:c r="G65" s="13"/>
      <x:c r="H65" s="13"/>
    </x:row>
    <x:row r="66">
      <x:c r="A66" s="13"/>
      <x:c r="B66" s="13"/>
      <x:c r="C66" s="13"/>
      <x:c r="D66" s="13"/>
      <x:c r="E66" s="13"/>
      <x:c r="F66" s="13"/>
      <x:c r="G66" s="13"/>
      <x:c r="H66" s="13"/>
    </x:row>
    <x:row r="67">
      <x:c r="A67" s="13"/>
      <x:c r="B67" s="13"/>
      <x:c r="C67" s="13"/>
      <x:c r="D67" s="13"/>
      <x:c r="E67" s="13"/>
      <x:c r="F67" s="13"/>
      <x:c r="G67" s="13"/>
      <x:c r="H67" s="13"/>
    </x:row>
    <x:row r="68">
      <x:c r="A68" s="13"/>
      <x:c r="B68" s="13"/>
      <x:c r="C68" s="13"/>
      <x:c r="D68" s="13"/>
      <x:c r="E68" s="13"/>
      <x:c r="F68" s="13"/>
      <x:c r="G68" s="13"/>
      <x:c r="H68" s="13"/>
    </x:row>
    <x:row r="69">
      <x:c r="A69" s="13"/>
      <x:c r="B69" s="13"/>
      <x:c r="C69" s="13"/>
      <x:c r="D69" s="13"/>
      <x:c r="E69" s="13"/>
      <x:c r="F69" s="13"/>
      <x:c r="G69" s="13"/>
      <x:c r="H69" s="13"/>
    </x:row>
    <x:row r="70">
      <x:c r="A70" s="13"/>
      <x:c r="B70" s="13"/>
      <x:c r="C70" s="13"/>
      <x:c r="D70" s="13"/>
      <x:c r="E70" s="13"/>
      <x:c r="F70" s="13"/>
      <x:c r="G70" s="13"/>
      <x:c r="H70" s="13"/>
    </x:row>
    <x:row r="71">
      <x:c r="A71" s="13"/>
      <x:c r="B71" s="13"/>
      <x:c r="C71" s="13"/>
      <x:c r="D71" s="13"/>
      <x:c r="E71" s="13"/>
      <x:c r="F71" s="13"/>
      <x:c r="G71" s="13"/>
      <x:c r="H71" s="13"/>
    </x:row>
    <x:row r="72">
      <x:c r="A72" s="13"/>
      <x:c r="B72" s="13"/>
      <x:c r="C72" s="13"/>
      <x:c r="D72" s="13"/>
      <x:c r="E72" s="13"/>
      <x:c r="F72" s="13"/>
      <x:c r="G72" s="13"/>
      <x:c r="H72" s="13"/>
    </x:row>
    <x:row r="73">
      <x:c r="A73" s="13"/>
      <x:c r="B73" s="13"/>
      <x:c r="C73" s="13"/>
      <x:c r="D73" s="13"/>
      <x:c r="E73" s="13"/>
      <x:c r="F73" s="13"/>
      <x:c r="G73" s="13"/>
      <x:c r="H73" s="13"/>
    </x:row>
    <x:row r="74">
      <x:c r="A74" s="13"/>
      <x:c r="B74" s="13"/>
      <x:c r="C74" s="13"/>
      <x:c r="D74" s="13"/>
      <x:c r="E74" s="13"/>
      <x:c r="F74" s="13"/>
      <x:c r="G74" s="13"/>
      <x:c r="H74" s="13"/>
    </x:row>
    <x:row r="75">
      <x:c r="A75" s="13"/>
      <x:c r="B75" s="13"/>
      <x:c r="C75" s="13"/>
      <x:c r="D75" s="13"/>
      <x:c r="E75" s="13"/>
      <x:c r="F75" s="13"/>
      <x:c r="G75" s="13"/>
      <x:c r="H75" s="13"/>
    </x:row>
    <x:row r="76">
      <x:c r="A76" s="13"/>
      <x:c r="B76" s="13"/>
      <x:c r="C76" s="13"/>
      <x:c r="D76" s="13"/>
      <x:c r="E76" s="13"/>
      <x:c r="F76" s="13"/>
      <x:c r="G76" s="13"/>
      <x:c r="H76" s="13"/>
    </x:row>
    <x:row r="77">
      <x:c r="A77" s="13"/>
      <x:c r="B77" s="13"/>
      <x:c r="C77" s="13"/>
      <x:c r="D77" s="13"/>
      <x:c r="E77" s="13"/>
      <x:c r="F77" s="13"/>
      <x:c r="G77" s="13"/>
      <x:c r="H77" s="13"/>
    </x:row>
    <x:row r="78">
      <x:c r="A78" s="13"/>
      <x:c r="B78" s="13"/>
      <x:c r="C78" s="13"/>
      <x:c r="D78" s="13"/>
      <x:c r="E78" s="13"/>
      <x:c r="F78" s="13"/>
      <x:c r="G78" s="13"/>
      <x:c r="H78" s="13"/>
    </x:row>
    <x:row r="79">
      <x:c r="A79" s="13"/>
      <x:c r="B79" s="13"/>
      <x:c r="C79" s="13"/>
      <x:c r="D79" s="13"/>
      <x:c r="E79" s="13"/>
      <x:c r="F79" s="13"/>
      <x:c r="G79" s="13"/>
      <x:c r="H79" s="13"/>
    </x:row>
    <x:row r="80">
      <x:c r="A80" s="13"/>
      <x:c r="B80" s="13"/>
      <x:c r="C80" s="13"/>
      <x:c r="D80" s="13"/>
      <x:c r="E80" s="13"/>
      <x:c r="F80" s="13"/>
      <x:c r="G80" s="13"/>
      <x:c r="H80" s="13"/>
    </x:row>
    <x:row r="81">
      <x:c r="A81" s="13"/>
      <x:c r="B81" s="13"/>
      <x:c r="C81" s="13"/>
      <x:c r="D81" s="13"/>
      <x:c r="E81" s="13"/>
      <x:c r="F81" s="13"/>
      <x:c r="G81" s="13"/>
      <x:c r="H81" s="13"/>
    </x:row>
    <x:row r="82">
      <x:c r="A82" s="13"/>
      <x:c r="B82" s="13"/>
      <x:c r="C82" s="13"/>
      <x:c r="D82" s="13"/>
      <x:c r="E82" s="13"/>
      <x:c r="F82" s="13"/>
      <x:c r="G82" s="13"/>
      <x:c r="H82" s="13"/>
    </x:row>
    <x:row r="83">
      <x:c r="A83" s="13"/>
      <x:c r="B83" s="13"/>
      <x:c r="C83" s="13"/>
      <x:c r="D83" s="13"/>
      <x:c r="E83" s="13"/>
      <x:c r="F83" s="13"/>
      <x:c r="G83" s="13"/>
      <x:c r="H83" s="13"/>
    </x:row>
    <x:row r="84">
      <x:c r="A84" s="13"/>
      <x:c r="B84" s="13"/>
      <x:c r="C84" s="13"/>
      <x:c r="D84" s="13"/>
      <x:c r="E84" s="13"/>
      <x:c r="F84" s="13"/>
      <x:c r="G84" s="13"/>
      <x:c r="H84" s="13"/>
    </x:row>
    <x:row r="85">
      <x:c r="A85" s="13"/>
      <x:c r="B85" s="13"/>
      <x:c r="C85" s="13"/>
      <x:c r="D85" s="13"/>
      <x:c r="E85" s="13"/>
      <x:c r="F85" s="13"/>
      <x:c r="G85" s="13"/>
      <x:c r="H85" s="13"/>
    </x:row>
    <x:row r="86">
      <x:c r="A86" s="13"/>
      <x:c r="B86" s="13"/>
      <x:c r="C86" s="13"/>
      <x:c r="D86" s="13"/>
      <x:c r="E86" s="13"/>
      <x:c r="F86" s="13"/>
      <x:c r="G86" s="13"/>
      <x:c r="H86" s="13"/>
    </x:row>
    <x:row r="87">
      <x:c r="A87" s="13"/>
      <x:c r="B87" s="13"/>
      <x:c r="C87" s="13"/>
      <x:c r="D87" s="13"/>
      <x:c r="E87" s="13"/>
      <x:c r="F87" s="13"/>
      <x:c r="G87" s="13"/>
      <x:c r="H87" s="13"/>
    </x:row>
    <x:row r="88">
      <x:c r="A88" s="13"/>
      <x:c r="B88" s="13"/>
      <x:c r="C88" s="13"/>
      <x:c r="D88" s="13"/>
      <x:c r="E88" s="13"/>
      <x:c r="F88" s="13"/>
      <x:c r="G88" s="13"/>
      <x:c r="H88" s="13"/>
    </x:row>
    <x:row r="89">
      <x:c r="A89" s="13"/>
      <x:c r="B89" s="13"/>
      <x:c r="C89" s="13"/>
      <x:c r="D89" s="13"/>
      <x:c r="E89" s="13"/>
      <x:c r="F89" s="13"/>
      <x:c r="G89" s="13"/>
      <x:c r="H89" s="13"/>
    </x:row>
    <x:row r="90">
      <x:c r="A90" s="13"/>
      <x:c r="B90" s="13"/>
      <x:c r="C90" s="13"/>
      <x:c r="D90" s="13"/>
      <x:c r="E90" s="13"/>
      <x:c r="F90" s="13"/>
      <x:c r="G90" s="13"/>
      <x:c r="H90" s="13"/>
    </x:row>
    <x:row r="91">
      <x:c r="A91" s="13"/>
      <x:c r="B91" s="13"/>
      <x:c r="C91" s="13"/>
      <x:c r="D91" s="13"/>
      <x:c r="E91" s="13"/>
      <x:c r="F91" s="13"/>
      <x:c r="G91" s="13"/>
      <x:c r="H91" s="13"/>
    </x:row>
    <x:row r="92">
      <x:c r="A92" s="13"/>
      <x:c r="B92" s="13"/>
      <x:c r="C92" s="13"/>
      <x:c r="D92" s="13"/>
      <x:c r="E92" s="13"/>
      <x:c r="F92" s="13"/>
      <x:c r="G92" s="13"/>
      <x:c r="H92" s="13"/>
    </x:row>
    <x:row r="93">
      <x:c r="A93" s="13"/>
      <x:c r="B93" s="13"/>
      <x:c r="C93" s="13"/>
      <x:c r="D93" s="13"/>
      <x:c r="E93" s="13"/>
      <x:c r="F93" s="13"/>
      <x:c r="G93" s="13"/>
      <x:c r="H93" s="13"/>
    </x:row>
    <x:row r="94">
      <x:c r="A94" s="13"/>
      <x:c r="B94" s="13"/>
      <x:c r="C94" s="13"/>
      <x:c r="D94" s="13"/>
      <x:c r="E94" s="13"/>
      <x:c r="F94" s="13"/>
      <x:c r="G94" s="13"/>
      <x:c r="H94" s="13"/>
    </x:row>
    <x:row r="95">
      <x:c r="A95" s="13"/>
      <x:c r="B95" s="13"/>
      <x:c r="C95" s="13"/>
      <x:c r="D95" s="13"/>
      <x:c r="E95" s="13"/>
      <x:c r="F95" s="13"/>
      <x:c r="G95" s="13"/>
      <x:c r="H95" s="13"/>
    </x:row>
    <x:row r="96">
      <x:c r="A96" s="13"/>
      <x:c r="B96" s="13"/>
      <x:c r="C96" s="13"/>
      <x:c r="D96" s="13"/>
      <x:c r="E96" s="13"/>
      <x:c r="F96" s="13"/>
      <x:c r="G96" s="13"/>
      <x:c r="H96" s="13"/>
    </x:row>
    <x:row r="97">
      <x:c r="A97" s="13"/>
      <x:c r="B97" s="13"/>
      <x:c r="C97" s="13"/>
      <x:c r="D97" s="13"/>
      <x:c r="E97" s="13"/>
      <x:c r="F97" s="13"/>
      <x:c r="G97" s="13"/>
      <x:c r="H97" s="13"/>
    </x:row>
    <x:row r="98">
      <x:c r="A98" s="13"/>
      <x:c r="B98" s="13"/>
      <x:c r="C98" s="13"/>
      <x:c r="D98" s="13"/>
      <x:c r="E98" s="13"/>
      <x:c r="F98" s="13"/>
      <x:c r="G98" s="13"/>
      <x:c r="H98" s="13"/>
    </x:row>
    <x:row r="99">
      <x:c r="A99" s="13"/>
      <x:c r="B99" s="13"/>
      <x:c r="C99" s="13"/>
      <x:c r="D99" s="13"/>
      <x:c r="E99" s="13"/>
      <x:c r="F99" s="13"/>
      <x:c r="G99" s="13"/>
      <x:c r="H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</x:row>
  </x:sheetData>
  <x:pageMargins left="0.7" right="0.7" top="0.75" bottom="0.75" header="0.3" footer="0.3"/>
  <x:tableParts count="1">
    <x:tablePart xmlns:r="http://schemas.openxmlformats.org/officeDocument/2006/relationships" r:id="Rdac4103956fd4c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6" t="str">
        <x:v>Статусы</x:v>
      </x:c>
      <x:c r="B1" s="16" t="str">
        <x:v>Риски</x:v>
      </x:c>
      <x:c r="C1" s="16" t="str">
        <x:v>Подтверждение</x:v>
      </x:c>
      <x:c r="D1" s="16" t="str">
        <x:v>Способы доставки</x:v>
      </x:c>
    </x:row>
    <x:row r="2">
      <x:c r="A2" t="str">
        <x:v>Можно заказывать</x:v>
      </x:c>
      <x:c r="B2" t="str">
        <x:v>Низкий</x:v>
      </x:c>
      <x:c r="C2" t="str">
        <x:v>Да</x:v>
      </x:c>
      <x:c r="D2" t="str">
        <x:v>Доставка продавцом</x:v>
      </x:c>
    </x:row>
    <x:row r="3">
      <x:c r="A3" t="str">
        <x:v>Требует подтверждения</x:v>
      </x:c>
      <x:c r="B3" t="str">
        <x:v>Средний</x:v>
      </x:c>
      <x:c r="C3" t="str">
        <x:v>Нет</x:v>
      </x:c>
      <x:c r="D3" t="str">
        <x:v>Самовывоз</x:v>
      </x:c>
    </x:row>
    <x:row r="4">
      <x:c r="A4" t="str">
        <x:v>Возможно подходит</x:v>
      </x:c>
      <x:c r="B4" t="str">
        <x:v>Высокий</x:v>
      </x:c>
      <x:c r="C4" t="str">
        <x:v>Частично</x:v>
      </x:c>
      <x:c r="D4" t="str">
        <x:v>Курьер</x:v>
      </x:c>
    </x:row>
    <x:row r="5">
      <x:c r="A5" t="str">
        <x:v>Не подходит</x:v>
      </x:c>
      <x:c r="B5" t="str">
        <x:v>Критический</x:v>
      </x:c>
      <x:c r="D5" t="str">
        <x:v>Такси</x:v>
      </x:c>
    </x:row>
    <x:row r="6">
      <x:c r="A6" t="str">
        <x:v>Ждём ответ</x:v>
      </x:c>
      <x:c r="D6" t="str">
        <x:v>Газель</x:v>
      </x:c>
    </x:row>
    <x:row r="7">
      <x:c r="D7" t="str">
        <x:v>Jet Logistic</x:v>
      </x:c>
    </x:row>
    <x:row r="8">
      <x:c r="D8" t="str">
        <x:v>ТК/попутный груз</x:v>
      </x:c>
    </x:row>
  </x:sheetData>
  <x:pageMargins left="0.7" right="0.7" top="0.75" bottom="0.75" header="0.3" footer="0.3"/>
</x:worksheet>
</file>